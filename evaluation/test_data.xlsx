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Confusion Matrix" sheetId="3" state="visible" r:id="rId3"/>
    <sheet xmlns:r="http://schemas.openxmlformats.org/officeDocument/2006/relationships" name="README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sz val="11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95959"/>
      <sz val="11"/>
    </font>
    <font>
      <name val="Arial"/>
      <charset val="1"/>
      <family val="0"/>
      <b val="1"/>
      <sz val="11"/>
    </font>
    <font>
      <name val="Arial"/>
      <charset val="1"/>
      <family val="0"/>
      <color rgb="FF595959"/>
      <sz val="11"/>
    </font>
    <font>
      <name val="Arial"/>
      <charset val="1"/>
      <family val="0"/>
      <b val="1"/>
      <sz val="12"/>
    </font>
    <font>
      <name val="Arial"/>
      <charset val="1"/>
      <family val="0"/>
      <sz val="10"/>
    </font>
    <font>
      <name val="Arial"/>
    </font>
    <font>
      <name val="Arial"/>
      <b val="1"/>
      <sz val="14"/>
    </font>
    <font>
      <name val="Arial"/>
      <i val="1"/>
      <color rgb="00595959"/>
    </font>
    <font>
      <name val="Arial"/>
      <b val="1"/>
      <color rgb="00FFFFFF"/>
    </font>
    <font>
      <name val="Arial"/>
      <b val="1"/>
    </font>
    <font>
      <name val="Arial"/>
      <color rgb="00595959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385723"/>
        <bgColor rgb="FF595959"/>
      </patternFill>
    </fill>
    <fill>
      <patternFill patternType="solid">
        <fgColor rgb="0038572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4" fillId="3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4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1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4" fillId="3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pivotButton="0" quotePrefix="0" xfId="0"/>
    <xf numFmtId="0" fontId="15" fillId="0" borderId="0" pivotButton="0" quotePrefix="0" xfId="0"/>
    <xf numFmtId="0" fontId="16" fillId="4" borderId="2" applyAlignment="1" pivotButton="0" quotePrefix="0" xfId="0">
      <alignment horizontal="center" vertical="center" wrapText="1"/>
    </xf>
    <xf numFmtId="0" fontId="17" fillId="0" borderId="2" pivotButton="0" quotePrefix="0" xfId="0"/>
    <xf numFmtId="1" fontId="13" fillId="0" borderId="2" pivotButton="0" quotePrefix="0" xfId="0"/>
    <xf numFmtId="0" fontId="13" fillId="0" borderId="2" pivotButton="0" quotePrefix="0" xfId="0"/>
    <xf numFmtId="0" fontId="18" fillId="0" borderId="0" pivotButton="0" quotePrefix="0" xfId="0"/>
    <xf numFmtId="164" fontId="13" fillId="0" borderId="2" pivotButton="0" quotePrefix="0" xfId="0"/>
    <xf numFmtId="0" fontId="19" fillId="0" borderId="0" pivotButton="0" quotePrefix="0" xfId="0"/>
    <xf numFmtId="0" fontId="14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857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4629150" cy="3943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F4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17" min="1" max="1"/>
    <col width="34" customWidth="1" style="17" min="2" max="2"/>
    <col width="15" customWidth="1" style="17" min="3" max="3"/>
    <col width="32" customWidth="1" style="17" min="4" max="4"/>
    <col width="15" customWidth="1" style="17" min="5" max="21"/>
    <col width="24" customWidth="1" style="17" min="22" max="22"/>
    <col width="55" customWidth="1" style="17" min="23" max="23"/>
    <col width="15" customWidth="1" style="17" min="24" max="24"/>
    <col width="45" customWidth="1" style="17" min="25" max="25"/>
    <col width="15" customWidth="1" style="17" min="26" max="26"/>
    <col width="55" customWidth="1" style="17" min="27" max="27"/>
    <col width="15" customWidth="1" style="17" min="28" max="28"/>
    <col width="55" customWidth="1" style="17" min="29" max="29"/>
    <col width="32" customWidth="1" style="17" min="30" max="30"/>
    <col width="15" customWidth="1" style="17" min="31" max="32"/>
  </cols>
  <sheetData>
    <row r="1" ht="31.5" customHeight="1" s="18">
      <c r="A1" s="19" t="inlineStr">
        <is>
          <t>Case ID</t>
        </is>
      </c>
      <c r="B1" s="19" t="inlineStr">
        <is>
          <t>Scenario</t>
        </is>
      </c>
      <c r="C1" s="19" t="inlineStr">
        <is>
          <t>Actual Label</t>
        </is>
      </c>
      <c r="D1" s="19" t="inlineStr">
        <is>
          <t>Expected Attack Type</t>
        </is>
      </c>
      <c r="E1" s="19" t="inlineStr">
        <is>
          <t>Source IP</t>
        </is>
      </c>
      <c r="F1" s="19" t="inlineStr">
        <is>
          <t>Function Code</t>
        </is>
      </c>
      <c r="G1" s="19" t="inlineStr">
        <is>
          <t>Machine Register</t>
        </is>
      </c>
      <c r="H1" s="19" t="inlineStr">
        <is>
          <t>Requested Value</t>
        </is>
      </c>
      <c r="I1" s="19" t="inlineStr">
        <is>
          <t>Signature Mode</t>
        </is>
      </c>
      <c r="J1" s="19" t="inlineStr">
        <is>
          <t>Repeat Count</t>
        </is>
      </c>
      <c r="K1" s="19" t="inlineStr">
        <is>
          <t>Seconds Since Last Settle</t>
        </is>
      </c>
      <c r="L1" s="19" t="inlineStr">
        <is>
          <t>Current TANK_PRESSURE</t>
        </is>
      </c>
      <c r="M1" s="19" t="inlineStr">
        <is>
          <t>Current CONVEYOR_SPEED</t>
        </is>
      </c>
      <c r="N1" s="19" t="inlineStr">
        <is>
          <t>Current COOLING_VALVE</t>
        </is>
      </c>
      <c r="O1" s="19" t="inlineStr">
        <is>
          <t>Current HEATER_TEMP</t>
        </is>
      </c>
      <c r="P1" s="19" t="inlineStr">
        <is>
          <t>Current FEED_PUMP</t>
        </is>
      </c>
      <c r="Q1" s="19" t="inlineStr">
        <is>
          <t>Current RELIEF_VALVE</t>
        </is>
      </c>
      <c r="R1" s="19" t="inlineStr">
        <is>
          <t>Current AIR_COMPRESSOR</t>
        </is>
      </c>
      <c r="S1" s="19" t="inlineStr">
        <is>
          <t>Current MIXER_SPEED</t>
        </is>
      </c>
      <c r="T1" s="19" t="inlineStr">
        <is>
          <t>Current COOLANT_FLOW</t>
        </is>
      </c>
      <c r="U1" s="19" t="inlineStr">
        <is>
          <t>Current EXHAUST_FAN</t>
        </is>
      </c>
      <c r="V1" s="19" t="inlineStr">
        <is>
          <t>Pending Setpoints (JSON)</t>
        </is>
      </c>
      <c r="W1" s="19" t="inlineStr">
        <is>
          <t>Description</t>
        </is>
      </c>
      <c r="X1" s="20" t="inlineStr">
        <is>
          <t>Cyber Verdict</t>
        </is>
      </c>
      <c r="Y1" s="20" t="inlineStr">
        <is>
          <t>Cyber Reason</t>
        </is>
      </c>
      <c r="Z1" s="20" t="inlineStr">
        <is>
          <t>Physical Verdict</t>
        </is>
      </c>
      <c r="AA1" s="20" t="inlineStr">
        <is>
          <t>Physical Reason</t>
        </is>
      </c>
      <c r="AB1" s="20" t="inlineStr">
        <is>
          <t>Final Decision</t>
        </is>
      </c>
      <c r="AC1" s="20" t="inlineStr">
        <is>
          <t>Orchestrator Reason</t>
        </is>
      </c>
      <c r="AD1" s="20" t="inlineStr">
        <is>
          <t>Detected Attack Type</t>
        </is>
      </c>
      <c r="AE1" s="20" t="inlineStr">
        <is>
          <t>Predicted Label</t>
        </is>
      </c>
      <c r="AF1" s="20" t="inlineStr">
        <is>
          <t>Outcome</t>
        </is>
      </c>
    </row>
    <row r="2" ht="15" customHeight="1" s="18">
      <c r="A2" s="21" t="inlineStr">
        <is>
          <t>N01</t>
        </is>
      </c>
      <c r="B2" s="21" t="inlineStr">
        <is>
          <t>Operator pressure step</t>
        </is>
      </c>
      <c r="C2" s="21" t="inlineStr">
        <is>
          <t>NORMAL</t>
        </is>
      </c>
      <c r="D2" s="21" t="inlineStr">
        <is>
          <t>-</t>
        </is>
      </c>
      <c r="E2" s="21" t="inlineStr">
        <is>
          <t>127.0.0.1</t>
        </is>
      </c>
      <c r="F2" s="21" t="n">
        <v>16</v>
      </c>
      <c r="G2" s="21" t="inlineStr">
        <is>
          <t>TANK_PRESSURE</t>
        </is>
      </c>
      <c r="H2" s="21" t="n">
        <v>51</v>
      </c>
      <c r="I2" s="21" t="inlineStr">
        <is>
          <t>valid</t>
        </is>
      </c>
      <c r="J2" s="21" t="n">
        <v>1</v>
      </c>
      <c r="K2" s="21" t="n">
        <v>12</v>
      </c>
      <c r="L2" s="21" t="n">
        <v>50</v>
      </c>
      <c r="M2" s="21" t="n">
        <v>0</v>
      </c>
      <c r="N2" s="21" t="n">
        <v>45</v>
      </c>
      <c r="O2" s="21" t="n">
        <v>60</v>
      </c>
      <c r="P2" s="21" t="n">
        <v>40</v>
      </c>
      <c r="Q2" s="21" t="n">
        <v>45</v>
      </c>
      <c r="R2" s="21" t="n">
        <v>1500</v>
      </c>
      <c r="S2" s="21" t="n">
        <v>100</v>
      </c>
      <c r="T2" s="21" t="n">
        <v>80</v>
      </c>
      <c r="U2" s="21" t="n">
        <v>50</v>
      </c>
      <c r="V2" s="21" t="n"/>
      <c r="W2" s="21" t="inlineStr">
        <is>
          <t>50 -&gt; 51 PSI signed operator step</t>
        </is>
      </c>
      <c r="X2" s="22" t="inlineStr">
        <is>
          <t>PASS</t>
        </is>
      </c>
      <c r="Y2" s="22" t="inlineStr">
        <is>
          <t>OK</t>
        </is>
      </c>
      <c r="Z2" s="22" t="inlineStr">
        <is>
          <t>PASS</t>
        </is>
      </c>
      <c r="AA2" s="22" t="inlineStr">
        <is>
          <t>OK</t>
        </is>
      </c>
      <c r="AB2" s="22" t="inlineStr">
        <is>
          <t>PASS</t>
        </is>
      </c>
      <c r="AC2" s="22" t="inlineStr">
        <is>
          <t>OK</t>
        </is>
      </c>
      <c r="AD2" s="22" t="inlineStr">
        <is>
          <t>-</t>
        </is>
      </c>
      <c r="AE2" s="22" t="inlineStr">
        <is>
          <t>NORMAL</t>
        </is>
      </c>
      <c r="AF2" s="22">
        <f>IF(OR(AE2="",C2=""),"",IF(C2="ATTACK",IF(AE2="ATTACK","TP","FN"),IF(AE2="ATTACK","FP","TN")))</f>
        <v/>
      </c>
    </row>
    <row r="3" ht="15" customHeight="1" s="18">
      <c r="A3" s="21" t="inlineStr">
        <is>
          <t>N02</t>
        </is>
      </c>
      <c r="B3" s="21" t="inlineStr">
        <is>
          <t>Operator conveyor step</t>
        </is>
      </c>
      <c r="C3" s="21" t="inlineStr">
        <is>
          <t>NORMAL</t>
        </is>
      </c>
      <c r="D3" s="21" t="inlineStr">
        <is>
          <t>-</t>
        </is>
      </c>
      <c r="E3" s="21" t="inlineStr">
        <is>
          <t>127.0.0.1</t>
        </is>
      </c>
      <c r="F3" s="21" t="n">
        <v>16</v>
      </c>
      <c r="G3" s="21" t="inlineStr">
        <is>
          <t>CONVEYOR_SPEED</t>
        </is>
      </c>
      <c r="H3" s="21" t="n">
        <v>2</v>
      </c>
      <c r="I3" s="21" t="inlineStr">
        <is>
          <t>valid</t>
        </is>
      </c>
      <c r="J3" s="21" t="n">
        <v>1</v>
      </c>
      <c r="K3" s="21" t="n">
        <v>12</v>
      </c>
      <c r="L3" s="21" t="n">
        <v>50</v>
      </c>
      <c r="M3" s="21" t="n">
        <v>0</v>
      </c>
      <c r="N3" s="21" t="n">
        <v>45</v>
      </c>
      <c r="O3" s="21" t="n">
        <v>60</v>
      </c>
      <c r="P3" s="21" t="n">
        <v>40</v>
      </c>
      <c r="Q3" s="21" t="n">
        <v>45</v>
      </c>
      <c r="R3" s="21" t="n">
        <v>1500</v>
      </c>
      <c r="S3" s="21" t="n">
        <v>100</v>
      </c>
      <c r="T3" s="21" t="n">
        <v>80</v>
      </c>
      <c r="U3" s="21" t="n">
        <v>50</v>
      </c>
      <c r="V3" s="21" t="n"/>
      <c r="W3" s="21" t="inlineStr">
        <is>
          <t>0 -&gt; 2 RPM</t>
        </is>
      </c>
      <c r="X3" s="22" t="inlineStr">
        <is>
          <t>PASS</t>
        </is>
      </c>
      <c r="Y3" s="22" t="inlineStr">
        <is>
          <t>OK</t>
        </is>
      </c>
      <c r="Z3" s="22" t="inlineStr">
        <is>
          <t>PASS</t>
        </is>
      </c>
      <c r="AA3" s="22" t="inlineStr">
        <is>
          <t>OK</t>
        </is>
      </c>
      <c r="AB3" s="22" t="inlineStr">
        <is>
          <t>PASS</t>
        </is>
      </c>
      <c r="AC3" s="22" t="inlineStr">
        <is>
          <t>OK</t>
        </is>
      </c>
      <c r="AD3" s="22" t="inlineStr">
        <is>
          <t>-</t>
        </is>
      </c>
      <c r="AE3" s="22" t="inlineStr">
        <is>
          <t>NORMAL</t>
        </is>
      </c>
      <c r="AF3" s="22">
        <f>IF(OR(AE3="",C3=""),"",IF(C3="ATTACK",IF(AE3="ATTACK","TP","FN"),IF(AE3="ATTACK","FP","TN")))</f>
        <v/>
      </c>
    </row>
    <row r="4" ht="15" customHeight="1" s="18">
      <c r="A4" s="21" t="inlineStr">
        <is>
          <t>N03</t>
        </is>
      </c>
      <c r="B4" s="21" t="inlineStr">
        <is>
          <t>Operator cooling step</t>
        </is>
      </c>
      <c r="C4" s="21" t="inlineStr">
        <is>
          <t>NORMAL</t>
        </is>
      </c>
      <c r="D4" s="21" t="inlineStr">
        <is>
          <t>-</t>
        </is>
      </c>
      <c r="E4" s="21" t="inlineStr">
        <is>
          <t>127.0.0.1</t>
        </is>
      </c>
      <c r="F4" s="21" t="n">
        <v>16</v>
      </c>
      <c r="G4" s="21" t="inlineStr">
        <is>
          <t>COOLING_VALVE</t>
        </is>
      </c>
      <c r="H4" s="21" t="n">
        <v>46</v>
      </c>
      <c r="I4" s="21" t="inlineStr">
        <is>
          <t>valid</t>
        </is>
      </c>
      <c r="J4" s="21" t="n">
        <v>1</v>
      </c>
      <c r="K4" s="21" t="n">
        <v>12</v>
      </c>
      <c r="L4" s="21" t="n">
        <v>50</v>
      </c>
      <c r="M4" s="21" t="n">
        <v>0</v>
      </c>
      <c r="N4" s="21" t="n">
        <v>45</v>
      </c>
      <c r="O4" s="21" t="n">
        <v>60</v>
      </c>
      <c r="P4" s="21" t="n">
        <v>40</v>
      </c>
      <c r="Q4" s="21" t="n">
        <v>45</v>
      </c>
      <c r="R4" s="21" t="n">
        <v>1500</v>
      </c>
      <c r="S4" s="21" t="n">
        <v>100</v>
      </c>
      <c r="T4" s="21" t="n">
        <v>80</v>
      </c>
      <c r="U4" s="21" t="n">
        <v>50</v>
      </c>
      <c r="V4" s="21" t="n"/>
      <c r="W4" s="21" t="inlineStr">
        <is>
          <t>45 -&gt; 46 deg</t>
        </is>
      </c>
      <c r="X4" s="22" t="inlineStr">
        <is>
          <t>PASS</t>
        </is>
      </c>
      <c r="Y4" s="22" t="inlineStr">
        <is>
          <t>OK</t>
        </is>
      </c>
      <c r="Z4" s="22" t="inlineStr">
        <is>
          <t>PASS</t>
        </is>
      </c>
      <c r="AA4" s="22" t="inlineStr">
        <is>
          <t>OK</t>
        </is>
      </c>
      <c r="AB4" s="22" t="inlineStr">
        <is>
          <t>PASS</t>
        </is>
      </c>
      <c r="AC4" s="22" t="inlineStr">
        <is>
          <t>OK</t>
        </is>
      </c>
      <c r="AD4" s="22" t="inlineStr">
        <is>
          <t>-</t>
        </is>
      </c>
      <c r="AE4" s="22" t="inlineStr">
        <is>
          <t>NORMAL</t>
        </is>
      </c>
      <c r="AF4" s="22">
        <f>IF(OR(AE4="",C4=""),"",IF(C4="ATTACK",IF(AE4="ATTACK","TP","FN"),IF(AE4="ATTACK","FP","TN")))</f>
        <v/>
      </c>
    </row>
    <row r="5" ht="15" customHeight="1" s="18">
      <c r="A5" s="21" t="inlineStr">
        <is>
          <t>N04</t>
        </is>
      </c>
      <c r="B5" s="21" t="inlineStr">
        <is>
          <t>Operator heater step</t>
        </is>
      </c>
      <c r="C5" s="21" t="inlineStr">
        <is>
          <t>NORMAL</t>
        </is>
      </c>
      <c r="D5" s="21" t="inlineStr">
        <is>
          <t>-</t>
        </is>
      </c>
      <c r="E5" s="21" t="inlineStr">
        <is>
          <t>127.0.0.1</t>
        </is>
      </c>
      <c r="F5" s="21" t="n">
        <v>16</v>
      </c>
      <c r="G5" s="21" t="inlineStr">
        <is>
          <t>HEATER_TEMP</t>
        </is>
      </c>
      <c r="H5" s="21" t="n">
        <v>61</v>
      </c>
      <c r="I5" s="21" t="inlineStr">
        <is>
          <t>valid</t>
        </is>
      </c>
      <c r="J5" s="21" t="n">
        <v>1</v>
      </c>
      <c r="K5" s="21" t="n">
        <v>12</v>
      </c>
      <c r="L5" s="21" t="n">
        <v>50</v>
      </c>
      <c r="M5" s="21" t="n">
        <v>0</v>
      </c>
      <c r="N5" s="21" t="n">
        <v>45</v>
      </c>
      <c r="O5" s="21" t="n">
        <v>60</v>
      </c>
      <c r="P5" s="21" t="n">
        <v>40</v>
      </c>
      <c r="Q5" s="21" t="n">
        <v>45</v>
      </c>
      <c r="R5" s="21" t="n">
        <v>1500</v>
      </c>
      <c r="S5" s="21" t="n">
        <v>100</v>
      </c>
      <c r="T5" s="21" t="n">
        <v>80</v>
      </c>
      <c r="U5" s="21" t="n">
        <v>50</v>
      </c>
      <c r="V5" s="21" t="n"/>
      <c r="W5" s="21" t="inlineStr">
        <is>
          <t>60 -&gt; 61 C</t>
        </is>
      </c>
      <c r="X5" s="22" t="inlineStr">
        <is>
          <t>PASS</t>
        </is>
      </c>
      <c r="Y5" s="22" t="inlineStr">
        <is>
          <t>OK</t>
        </is>
      </c>
      <c r="Z5" s="22" t="inlineStr">
        <is>
          <t>PASS</t>
        </is>
      </c>
      <c r="AA5" s="22" t="inlineStr">
        <is>
          <t>OK</t>
        </is>
      </c>
      <c r="AB5" s="22" t="inlineStr">
        <is>
          <t>PASS</t>
        </is>
      </c>
      <c r="AC5" s="22" t="inlineStr">
        <is>
          <t>OK</t>
        </is>
      </c>
      <c r="AD5" s="22" t="inlineStr">
        <is>
          <t>-</t>
        </is>
      </c>
      <c r="AE5" s="22" t="inlineStr">
        <is>
          <t>NORMAL</t>
        </is>
      </c>
      <c r="AF5" s="22">
        <f>IF(OR(AE5="",C5=""),"",IF(C5="ATTACK",IF(AE5="ATTACK","TP","FN"),IF(AE5="ATTACK","FP","TN")))</f>
        <v/>
      </c>
    </row>
    <row r="6" ht="15" customHeight="1" s="18">
      <c r="A6" s="21" t="inlineStr">
        <is>
          <t>N05</t>
        </is>
      </c>
      <c r="B6" s="21" t="inlineStr">
        <is>
          <t>Operator feed pump step</t>
        </is>
      </c>
      <c r="C6" s="21" t="inlineStr">
        <is>
          <t>NORMAL</t>
        </is>
      </c>
      <c r="D6" s="21" t="inlineStr">
        <is>
          <t>-</t>
        </is>
      </c>
      <c r="E6" s="21" t="inlineStr">
        <is>
          <t>127.0.0.1</t>
        </is>
      </c>
      <c r="F6" s="21" t="n">
        <v>16</v>
      </c>
      <c r="G6" s="21" t="inlineStr">
        <is>
          <t>FEED_PUMP</t>
        </is>
      </c>
      <c r="H6" s="21" t="n">
        <v>41</v>
      </c>
      <c r="I6" s="21" t="inlineStr">
        <is>
          <t>valid</t>
        </is>
      </c>
      <c r="J6" s="21" t="n">
        <v>1</v>
      </c>
      <c r="K6" s="21" t="n">
        <v>12</v>
      </c>
      <c r="L6" s="21" t="n">
        <v>50</v>
      </c>
      <c r="M6" s="21" t="n">
        <v>0</v>
      </c>
      <c r="N6" s="21" t="n">
        <v>45</v>
      </c>
      <c r="O6" s="21" t="n">
        <v>60</v>
      </c>
      <c r="P6" s="21" t="n">
        <v>40</v>
      </c>
      <c r="Q6" s="21" t="n">
        <v>45</v>
      </c>
      <c r="R6" s="21" t="n">
        <v>1500</v>
      </c>
      <c r="S6" s="21" t="n">
        <v>100</v>
      </c>
      <c r="T6" s="21" t="n">
        <v>80</v>
      </c>
      <c r="U6" s="21" t="n">
        <v>50</v>
      </c>
      <c r="V6" s="21" t="n"/>
      <c r="W6" s="21" t="inlineStr">
        <is>
          <t>40 -&gt; 41 %</t>
        </is>
      </c>
      <c r="X6" s="22" t="inlineStr">
        <is>
          <t>PASS</t>
        </is>
      </c>
      <c r="Y6" s="22" t="inlineStr">
        <is>
          <t>OK</t>
        </is>
      </c>
      <c r="Z6" s="22" t="inlineStr">
        <is>
          <t>PASS</t>
        </is>
      </c>
      <c r="AA6" s="22" t="inlineStr">
        <is>
          <t>OK</t>
        </is>
      </c>
      <c r="AB6" s="22" t="inlineStr">
        <is>
          <t>PASS</t>
        </is>
      </c>
      <c r="AC6" s="22" t="inlineStr">
        <is>
          <t>OK</t>
        </is>
      </c>
      <c r="AD6" s="22" t="inlineStr">
        <is>
          <t>-</t>
        </is>
      </c>
      <c r="AE6" s="22" t="inlineStr">
        <is>
          <t>NORMAL</t>
        </is>
      </c>
      <c r="AF6" s="22">
        <f>IF(OR(AE6="",C6=""),"",IF(C6="ATTACK",IF(AE6="ATTACK","TP","FN"),IF(AE6="ATTACK","FP","TN")))</f>
        <v/>
      </c>
    </row>
    <row r="7" ht="15" customHeight="1" s="18">
      <c r="A7" s="21" t="inlineStr">
        <is>
          <t>N06</t>
        </is>
      </c>
      <c r="B7" s="21" t="inlineStr">
        <is>
          <t>Operator relief valve step</t>
        </is>
      </c>
      <c r="C7" s="21" t="inlineStr">
        <is>
          <t>NORMAL</t>
        </is>
      </c>
      <c r="D7" s="21" t="inlineStr">
        <is>
          <t>-</t>
        </is>
      </c>
      <c r="E7" s="21" t="inlineStr">
        <is>
          <t>127.0.0.1</t>
        </is>
      </c>
      <c r="F7" s="21" t="n">
        <v>16</v>
      </c>
      <c r="G7" s="21" t="inlineStr">
        <is>
          <t>RELIEF_VALVE</t>
        </is>
      </c>
      <c r="H7" s="21" t="n">
        <v>46</v>
      </c>
      <c r="I7" s="21" t="inlineStr">
        <is>
          <t>valid</t>
        </is>
      </c>
      <c r="J7" s="21" t="n">
        <v>1</v>
      </c>
      <c r="K7" s="21" t="n">
        <v>12</v>
      </c>
      <c r="L7" s="21" t="n">
        <v>50</v>
      </c>
      <c r="M7" s="21" t="n">
        <v>0</v>
      </c>
      <c r="N7" s="21" t="n">
        <v>45</v>
      </c>
      <c r="O7" s="21" t="n">
        <v>60</v>
      </c>
      <c r="P7" s="21" t="n">
        <v>40</v>
      </c>
      <c r="Q7" s="21" t="n">
        <v>45</v>
      </c>
      <c r="R7" s="21" t="n">
        <v>1500</v>
      </c>
      <c r="S7" s="21" t="n">
        <v>100</v>
      </c>
      <c r="T7" s="21" t="n">
        <v>80</v>
      </c>
      <c r="U7" s="21" t="n">
        <v>50</v>
      </c>
      <c r="V7" s="21" t="n"/>
      <c r="W7" s="21" t="inlineStr">
        <is>
          <t>45 -&gt; 46 deg</t>
        </is>
      </c>
      <c r="X7" s="22" t="inlineStr">
        <is>
          <t>PASS</t>
        </is>
      </c>
      <c r="Y7" s="22" t="inlineStr">
        <is>
          <t>OK</t>
        </is>
      </c>
      <c r="Z7" s="22" t="inlineStr">
        <is>
          <t>PASS</t>
        </is>
      </c>
      <c r="AA7" s="22" t="inlineStr">
        <is>
          <t>OK</t>
        </is>
      </c>
      <c r="AB7" s="22" t="inlineStr">
        <is>
          <t>PASS</t>
        </is>
      </c>
      <c r="AC7" s="22" t="inlineStr">
        <is>
          <t>OK</t>
        </is>
      </c>
      <c r="AD7" s="22" t="inlineStr">
        <is>
          <t>-</t>
        </is>
      </c>
      <c r="AE7" s="22" t="inlineStr">
        <is>
          <t>NORMAL</t>
        </is>
      </c>
      <c r="AF7" s="22">
        <f>IF(OR(AE7="",C7=""),"",IF(C7="ATTACK",IF(AE7="ATTACK","TP","FN"),IF(AE7="ATTACK","FP","TN")))</f>
        <v/>
      </c>
    </row>
    <row r="8" ht="15" customHeight="1" s="18">
      <c r="A8" s="21" t="inlineStr">
        <is>
          <t>N07</t>
        </is>
      </c>
      <c r="B8" s="21" t="inlineStr">
        <is>
          <t>Heater high with cooling open</t>
        </is>
      </c>
      <c r="C8" s="21" t="inlineStr">
        <is>
          <t>NORMAL</t>
        </is>
      </c>
      <c r="D8" s="21" t="inlineStr">
        <is>
          <t>-</t>
        </is>
      </c>
      <c r="E8" s="21" t="inlineStr">
        <is>
          <t>127.0.0.1</t>
        </is>
      </c>
      <c r="F8" s="21" t="n">
        <v>16</v>
      </c>
      <c r="G8" s="21" t="inlineStr">
        <is>
          <t>HEATER_TEMP</t>
        </is>
      </c>
      <c r="H8" s="21" t="n">
        <v>112</v>
      </c>
      <c r="I8" s="21" t="inlineStr">
        <is>
          <t>valid</t>
        </is>
      </c>
      <c r="J8" s="21" t="n">
        <v>1</v>
      </c>
      <c r="K8" s="21" t="n">
        <v>10</v>
      </c>
      <c r="L8" s="21" t="n">
        <v>50</v>
      </c>
      <c r="M8" s="21" t="n">
        <v>0</v>
      </c>
      <c r="N8" s="21" t="n">
        <v>60</v>
      </c>
      <c r="O8" s="21" t="n">
        <v>102</v>
      </c>
      <c r="P8" s="21" t="n">
        <v>40</v>
      </c>
      <c r="Q8" s="21" t="n">
        <v>45</v>
      </c>
      <c r="R8" s="21" t="n">
        <v>1500</v>
      </c>
      <c r="S8" s="21" t="n">
        <v>100</v>
      </c>
      <c r="T8" s="21" t="n">
        <v>80</v>
      </c>
      <c r="U8" s="21" t="n">
        <v>50</v>
      </c>
      <c r="V8" s="21" t="n"/>
      <c r="W8" s="21" t="inlineStr">
        <is>
          <t>Legitimate multi-register combination: hot reactor but adequate cooling</t>
        </is>
      </c>
      <c r="X8" s="22" t="inlineStr">
        <is>
          <t>PASS</t>
        </is>
      </c>
      <c r="Y8" s="22" t="inlineStr">
        <is>
          <t>OK</t>
        </is>
      </c>
      <c r="Z8" s="22" t="inlineStr">
        <is>
          <t>PASS</t>
        </is>
      </c>
      <c r="AA8" s="22" t="inlineStr">
        <is>
          <t>OK</t>
        </is>
      </c>
      <c r="AB8" s="22" t="inlineStr">
        <is>
          <t>PASS</t>
        </is>
      </c>
      <c r="AC8" s="22" t="inlineStr">
        <is>
          <t>OK</t>
        </is>
      </c>
      <c r="AD8" s="22" t="inlineStr">
        <is>
          <t>-</t>
        </is>
      </c>
      <c r="AE8" s="22" t="inlineStr">
        <is>
          <t>NORMAL</t>
        </is>
      </c>
      <c r="AF8" s="22">
        <f>IF(OR(AE8="",C8=""),"",IF(C8="ATTACK",IF(AE8="ATTACK","TP","FN"),IF(AE8="ATTACK","FP","TN")))</f>
        <v/>
      </c>
    </row>
    <row r="9" ht="15" customHeight="1" s="18">
      <c r="A9" s="21" t="inlineStr">
        <is>
          <t>N08</t>
        </is>
      </c>
      <c r="B9" s="21" t="inlineStr">
        <is>
          <t>Pump high with relief open</t>
        </is>
      </c>
      <c r="C9" s="21" t="inlineStr">
        <is>
          <t>NORMAL</t>
        </is>
      </c>
      <c r="D9" s="21" t="inlineStr">
        <is>
          <t>-</t>
        </is>
      </c>
      <c r="E9" s="21" t="inlineStr">
        <is>
          <t>127.0.0.1</t>
        </is>
      </c>
      <c r="F9" s="21" t="n">
        <v>16</v>
      </c>
      <c r="G9" s="21" t="inlineStr">
        <is>
          <t>FEED_PUMP</t>
        </is>
      </c>
      <c r="H9" s="21" t="n">
        <v>75</v>
      </c>
      <c r="I9" s="21" t="inlineStr">
        <is>
          <t>valid</t>
        </is>
      </c>
      <c r="J9" s="21" t="n">
        <v>1</v>
      </c>
      <c r="K9" s="21" t="n">
        <v>10</v>
      </c>
      <c r="L9" s="21" t="n">
        <v>50</v>
      </c>
      <c r="M9" s="21" t="n">
        <v>0</v>
      </c>
      <c r="N9" s="21" t="n">
        <v>45</v>
      </c>
      <c r="O9" s="21" t="n">
        <v>60</v>
      </c>
      <c r="P9" s="21" t="n">
        <v>65</v>
      </c>
      <c r="Q9" s="21" t="n">
        <v>50</v>
      </c>
      <c r="R9" s="21" t="n">
        <v>1500</v>
      </c>
      <c r="S9" s="21" t="n">
        <v>100</v>
      </c>
      <c r="T9" s="21" t="n">
        <v>80</v>
      </c>
      <c r="U9" s="21" t="n">
        <v>50</v>
      </c>
      <c r="V9" s="21" t="n"/>
      <c r="W9" s="21" t="inlineStr">
        <is>
          <t>Legitimate multi-register combination: high feed with relief path open</t>
        </is>
      </c>
      <c r="X9" s="22" t="inlineStr">
        <is>
          <t>PASS</t>
        </is>
      </c>
      <c r="Y9" s="22" t="inlineStr">
        <is>
          <t>OK</t>
        </is>
      </c>
      <c r="Z9" s="22" t="inlineStr">
        <is>
          <t>PASS</t>
        </is>
      </c>
      <c r="AA9" s="22" t="inlineStr">
        <is>
          <t>OK</t>
        </is>
      </c>
      <c r="AB9" s="22" t="inlineStr">
        <is>
          <t>PASS</t>
        </is>
      </c>
      <c r="AC9" s="22" t="inlineStr">
        <is>
          <t>OK</t>
        </is>
      </c>
      <c r="AD9" s="22" t="inlineStr">
        <is>
          <t>-</t>
        </is>
      </c>
      <c r="AE9" s="22" t="inlineStr">
        <is>
          <t>NORMAL</t>
        </is>
      </c>
      <c r="AF9" s="22">
        <f>IF(OR(AE9="",C9=""),"",IF(C9="ATTACK",IF(AE9="ATTACK","TP","FN"),IF(AE9="ATTACK","FP","TN")))</f>
        <v/>
      </c>
    </row>
    <row r="10" ht="15" customHeight="1" s="18">
      <c r="A10" s="21" t="inlineStr">
        <is>
          <t>N09</t>
        </is>
      </c>
      <c r="B10" s="21" t="inlineStr">
        <is>
          <t>Relief nearly closed at low feed</t>
        </is>
      </c>
      <c r="C10" s="21" t="inlineStr">
        <is>
          <t>NORMAL</t>
        </is>
      </c>
      <c r="D10" s="21" t="inlineStr">
        <is>
          <t>-</t>
        </is>
      </c>
      <c r="E10" s="21" t="inlineStr">
        <is>
          <t>127.0.0.1</t>
        </is>
      </c>
      <c r="F10" s="21" t="n">
        <v>16</v>
      </c>
      <c r="G10" s="21" t="inlineStr">
        <is>
          <t>RELIEF_VALVE</t>
        </is>
      </c>
      <c r="H10" s="21" t="n">
        <v>12</v>
      </c>
      <c r="I10" s="21" t="inlineStr">
        <is>
          <t>valid</t>
        </is>
      </c>
      <c r="J10" s="21" t="n">
        <v>1</v>
      </c>
      <c r="K10" s="21" t="n">
        <v>10</v>
      </c>
      <c r="L10" s="21" t="n">
        <v>50</v>
      </c>
      <c r="M10" s="21" t="n">
        <v>0</v>
      </c>
      <c r="N10" s="21" t="n">
        <v>45</v>
      </c>
      <c r="O10" s="21" t="n">
        <v>60</v>
      </c>
      <c r="P10" s="21" t="n">
        <v>40</v>
      </c>
      <c r="Q10" s="21" t="n">
        <v>45</v>
      </c>
      <c r="R10" s="21" t="n">
        <v>1500</v>
      </c>
      <c r="S10" s="21" t="n">
        <v>100</v>
      </c>
      <c r="T10" s="21" t="n">
        <v>80</v>
      </c>
      <c r="U10" s="21" t="n">
        <v>50</v>
      </c>
      <c r="V10" s="21" t="n"/>
      <c r="W10" s="21" t="inlineStr">
        <is>
          <t>Relief low is safe because feed pump is low</t>
        </is>
      </c>
      <c r="X10" s="22" t="inlineStr">
        <is>
          <t>PASS</t>
        </is>
      </c>
      <c r="Y10" s="22" t="inlineStr">
        <is>
          <t>OK</t>
        </is>
      </c>
      <c r="Z10" s="22" t="inlineStr">
        <is>
          <t>PASS</t>
        </is>
      </c>
      <c r="AA10" s="22" t="inlineStr">
        <is>
          <t>OK</t>
        </is>
      </c>
      <c r="AB10" s="22" t="inlineStr">
        <is>
          <t>PASS</t>
        </is>
      </c>
      <c r="AC10" s="22" t="inlineStr">
        <is>
          <t>OK</t>
        </is>
      </c>
      <c r="AD10" s="22" t="inlineStr">
        <is>
          <t>-</t>
        </is>
      </c>
      <c r="AE10" s="22" t="inlineStr">
        <is>
          <t>NORMAL</t>
        </is>
      </c>
      <c r="AF10" s="22">
        <f>IF(OR(AE10="",C10=""),"",IF(C10="ATTACK",IF(AE10="ATTACK","TP","FN"),IF(AE10="ATTACK","FP","TN")))</f>
        <v/>
      </c>
    </row>
    <row r="11" ht="15" customHeight="1" s="18">
      <c r="A11" s="21" t="inlineStr">
        <is>
          <t>N10</t>
        </is>
      </c>
      <c r="B11" s="21" t="inlineStr">
        <is>
          <t>Cooling low at moderate heat</t>
        </is>
      </c>
      <c r="C11" s="21" t="inlineStr">
        <is>
          <t>NORMAL</t>
        </is>
      </c>
      <c r="D11" s="21" t="inlineStr">
        <is>
          <t>-</t>
        </is>
      </c>
      <c r="E11" s="21" t="inlineStr">
        <is>
          <t>127.0.0.1</t>
        </is>
      </c>
      <c r="F11" s="21" t="n">
        <v>16</v>
      </c>
      <c r="G11" s="21" t="inlineStr">
        <is>
          <t>COOLING_VALVE</t>
        </is>
      </c>
      <c r="H11" s="21" t="n">
        <v>20</v>
      </c>
      <c r="I11" s="21" t="inlineStr">
        <is>
          <t>valid</t>
        </is>
      </c>
      <c r="J11" s="21" t="n">
        <v>1</v>
      </c>
      <c r="K11" s="21" t="n">
        <v>10</v>
      </c>
      <c r="L11" s="21" t="n">
        <v>50</v>
      </c>
      <c r="M11" s="21" t="n">
        <v>0</v>
      </c>
      <c r="N11" s="21" t="n">
        <v>30</v>
      </c>
      <c r="O11" s="21" t="n">
        <v>80</v>
      </c>
      <c r="P11" s="21" t="n">
        <v>40</v>
      </c>
      <c r="Q11" s="21" t="n">
        <v>45</v>
      </c>
      <c r="R11" s="21" t="n">
        <v>1500</v>
      </c>
      <c r="S11" s="21" t="n">
        <v>100</v>
      </c>
      <c r="T11" s="21" t="n">
        <v>80</v>
      </c>
      <c r="U11" s="21" t="n">
        <v>50</v>
      </c>
      <c r="V11" s="21" t="n"/>
      <c r="W11" s="21" t="inlineStr">
        <is>
          <t>Cooling low is safe because heater setpoint is moderate</t>
        </is>
      </c>
      <c r="X11" s="22" t="inlineStr">
        <is>
          <t>PASS</t>
        </is>
      </c>
      <c r="Y11" s="22" t="inlineStr">
        <is>
          <t>OK</t>
        </is>
      </c>
      <c r="Z11" s="22" t="inlineStr">
        <is>
          <t>PASS</t>
        </is>
      </c>
      <c r="AA11" s="22" t="inlineStr">
        <is>
          <t>OK</t>
        </is>
      </c>
      <c r="AB11" s="22" t="inlineStr">
        <is>
          <t>PASS</t>
        </is>
      </c>
      <c r="AC11" s="22" t="inlineStr">
        <is>
          <t>OK</t>
        </is>
      </c>
      <c r="AD11" s="22" t="inlineStr">
        <is>
          <t>-</t>
        </is>
      </c>
      <c r="AE11" s="22" t="inlineStr">
        <is>
          <t>NORMAL</t>
        </is>
      </c>
      <c r="AF11" s="22">
        <f>IF(OR(AE11="",C11=""),"",IF(C11="ATTACK",IF(AE11="ATTACK","TP","FN"),IF(AE11="ATTACK","FP","TN")))</f>
        <v/>
      </c>
    </row>
    <row r="12" ht="15" customHeight="1" s="18">
      <c r="A12" s="21" t="inlineStr">
        <is>
          <t>N11</t>
        </is>
      </c>
      <c r="B12" s="21" t="inlineStr">
        <is>
          <t>Pressure up with warm heater</t>
        </is>
      </c>
      <c r="C12" s="21" t="inlineStr">
        <is>
          <t>NORMAL</t>
        </is>
      </c>
      <c r="D12" s="21" t="inlineStr">
        <is>
          <t>-</t>
        </is>
      </c>
      <c r="E12" s="21" t="inlineStr">
        <is>
          <t>127.0.0.1</t>
        </is>
      </c>
      <c r="F12" s="21" t="n">
        <v>16</v>
      </c>
      <c r="G12" s="21" t="inlineStr">
        <is>
          <t>TANK_PRESSURE</t>
        </is>
      </c>
      <c r="H12" s="21" t="n">
        <v>86</v>
      </c>
      <c r="I12" s="21" t="inlineStr">
        <is>
          <t>valid</t>
        </is>
      </c>
      <c r="J12" s="21" t="n">
        <v>1</v>
      </c>
      <c r="K12" s="21" t="n">
        <v>5</v>
      </c>
      <c r="L12" s="21" t="n">
        <v>80</v>
      </c>
      <c r="M12" s="21" t="n">
        <v>0</v>
      </c>
      <c r="N12" s="21" t="n">
        <v>45</v>
      </c>
      <c r="O12" s="21" t="n">
        <v>110</v>
      </c>
      <c r="P12" s="21" t="n">
        <v>40</v>
      </c>
      <c r="Q12" s="21" t="n">
        <v>45</v>
      </c>
      <c r="R12" s="21" t="n">
        <v>1500</v>
      </c>
      <c r="S12" s="21" t="n">
        <v>100</v>
      </c>
      <c r="T12" s="21" t="n">
        <v>80</v>
      </c>
      <c r="U12" s="21" t="n">
        <v>50</v>
      </c>
      <c r="V12" s="21" t="n"/>
      <c r="W12" s="21" t="inlineStr">
        <is>
          <t>Below HOT_PRESSURIZED_VESSEL heater threshold (125 C)</t>
        </is>
      </c>
      <c r="X12" s="22" t="inlineStr">
        <is>
          <t>PASS</t>
        </is>
      </c>
      <c r="Y12" s="22" t="inlineStr">
        <is>
          <t>OK</t>
        </is>
      </c>
      <c r="Z12" s="22" t="inlineStr">
        <is>
          <t>PASS</t>
        </is>
      </c>
      <c r="AA12" s="22" t="inlineStr">
        <is>
          <t>OK</t>
        </is>
      </c>
      <c r="AB12" s="22" t="inlineStr">
        <is>
          <t>PASS</t>
        </is>
      </c>
      <c r="AC12" s="22" t="inlineStr">
        <is>
          <t>OK</t>
        </is>
      </c>
      <c r="AD12" s="22" t="inlineStr">
        <is>
          <t>-</t>
        </is>
      </c>
      <c r="AE12" s="22" t="inlineStr">
        <is>
          <t>NORMAL</t>
        </is>
      </c>
      <c r="AF12" s="22">
        <f>IF(OR(AE12="",C12=""),"",IF(C12="ATTACK",IF(AE12="ATTACK","TP","FN"),IF(AE12="ATTACK","FP","TN")))</f>
        <v/>
      </c>
    </row>
    <row r="13" ht="15" customHeight="1" s="18">
      <c r="A13" s="21" t="inlineStr">
        <is>
          <t>N12</t>
        </is>
      </c>
      <c r="B13" s="21" t="inlineStr">
        <is>
          <t>Corrective move out of unsafe state</t>
        </is>
      </c>
      <c r="C13" s="21" t="inlineStr">
        <is>
          <t>NORMAL</t>
        </is>
      </c>
      <c r="D13" s="21" t="inlineStr">
        <is>
          <t>-</t>
        </is>
      </c>
      <c r="E13" s="21" t="inlineStr">
        <is>
          <t>127.0.0.1</t>
        </is>
      </c>
      <c r="F13" s="21" t="n">
        <v>16</v>
      </c>
      <c r="G13" s="21" t="inlineStr">
        <is>
          <t>FEED_PUMP</t>
        </is>
      </c>
      <c r="H13" s="21" t="n">
        <v>75</v>
      </c>
      <c r="I13" s="21" t="inlineStr">
        <is>
          <t>valid</t>
        </is>
      </c>
      <c r="J13" s="21" t="n">
        <v>1</v>
      </c>
      <c r="K13" s="21" t="n">
        <v>10</v>
      </c>
      <c r="L13" s="21" t="n">
        <v>50</v>
      </c>
      <c r="M13" s="21" t="n">
        <v>0</v>
      </c>
      <c r="N13" s="21" t="n">
        <v>45</v>
      </c>
      <c r="O13" s="21" t="n">
        <v>60</v>
      </c>
      <c r="P13" s="21" t="n">
        <v>80</v>
      </c>
      <c r="Q13" s="21" t="n">
        <v>10</v>
      </c>
      <c r="R13" s="21" t="n">
        <v>1500</v>
      </c>
      <c r="S13" s="21" t="n">
        <v>100</v>
      </c>
      <c r="T13" s="21" t="n">
        <v>80</v>
      </c>
      <c r="U13" s="21" t="n">
        <v>50</v>
      </c>
      <c r="V13" s="21" t="n"/>
      <c r="W13" s="21" t="inlineStr">
        <is>
          <t>Plant already in OVERPRESSURE combination; operator reduces pump</t>
        </is>
      </c>
      <c r="X13" s="22" t="inlineStr">
        <is>
          <t>PASS</t>
        </is>
      </c>
      <c r="Y13" s="22" t="inlineStr">
        <is>
          <t>OK</t>
        </is>
      </c>
      <c r="Z13" s="22" t="inlineStr">
        <is>
          <t>PASS</t>
        </is>
      </c>
      <c r="AA13" s="22" t="inlineStr">
        <is>
          <t>OK</t>
        </is>
      </c>
      <c r="AB13" s="22" t="inlineStr">
        <is>
          <t>PASS</t>
        </is>
      </c>
      <c r="AC13" s="22" t="inlineStr">
        <is>
          <t>OK</t>
        </is>
      </c>
      <c r="AD13" s="22" t="inlineStr">
        <is>
          <t>-</t>
        </is>
      </c>
      <c r="AE13" s="22" t="inlineStr">
        <is>
          <t>NORMAL</t>
        </is>
      </c>
      <c r="AF13" s="22">
        <f>IF(OR(AE13="",C13=""),"",IF(C13="ATTACK",IF(AE13="ATTACK","TP","FN"),IF(AE13="ATTACK","FP","TN")))</f>
        <v/>
      </c>
    </row>
    <row r="14" ht="15" customHeight="1" s="18">
      <c r="A14" s="21" t="inlineStr">
        <is>
          <t>N13</t>
        </is>
      </c>
      <c r="B14" s="21" t="inlineStr">
        <is>
          <t>Large move after long idle</t>
        </is>
      </c>
      <c r="C14" s="21" t="inlineStr">
        <is>
          <t>NORMAL</t>
        </is>
      </c>
      <c r="D14" s="21" t="inlineStr">
        <is>
          <t>-</t>
        </is>
      </c>
      <c r="E14" s="21" t="inlineStr">
        <is>
          <t>127.0.0.1</t>
        </is>
      </c>
      <c r="F14" s="21" t="n">
        <v>16</v>
      </c>
      <c r="G14" s="21" t="inlineStr">
        <is>
          <t>CONVEYOR_SPEED</t>
        </is>
      </c>
      <c r="H14" s="21" t="n">
        <v>80</v>
      </c>
      <c r="I14" s="21" t="inlineStr">
        <is>
          <t>valid</t>
        </is>
      </c>
      <c r="J14" s="21" t="n">
        <v>1</v>
      </c>
      <c r="K14" s="21" t="n">
        <v>10</v>
      </c>
      <c r="L14" s="21" t="n">
        <v>50</v>
      </c>
      <c r="M14" s="21" t="n">
        <v>0</v>
      </c>
      <c r="N14" s="21" t="n">
        <v>45</v>
      </c>
      <c r="O14" s="21" t="n">
        <v>60</v>
      </c>
      <c r="P14" s="21" t="n">
        <v>40</v>
      </c>
      <c r="Q14" s="21" t="n">
        <v>45</v>
      </c>
      <c r="R14" s="21" t="n">
        <v>1500</v>
      </c>
      <c r="S14" s="21" t="n">
        <v>100</v>
      </c>
      <c r="T14" s="21" t="n">
        <v>80</v>
      </c>
      <c r="U14" s="21" t="n">
        <v>50</v>
      </c>
      <c r="V14" s="21" t="n"/>
      <c r="W14" s="21" t="inlineStr">
        <is>
          <t>0 -&gt; 80 RPM, plant had 10 s to reach it (rate 10 RPM/s)</t>
        </is>
      </c>
      <c r="X14" s="22" t="inlineStr">
        <is>
          <t>PASS</t>
        </is>
      </c>
      <c r="Y14" s="22" t="inlineStr">
        <is>
          <t>OK</t>
        </is>
      </c>
      <c r="Z14" s="22" t="inlineStr">
        <is>
          <t>PASS</t>
        </is>
      </c>
      <c r="AA14" s="22" t="inlineStr">
        <is>
          <t>OK</t>
        </is>
      </c>
      <c r="AB14" s="22" t="inlineStr">
        <is>
          <t>PASS</t>
        </is>
      </c>
      <c r="AC14" s="22" t="inlineStr">
        <is>
          <t>OK</t>
        </is>
      </c>
      <c r="AD14" s="22" t="inlineStr">
        <is>
          <t>-</t>
        </is>
      </c>
      <c r="AE14" s="22" t="inlineStr">
        <is>
          <t>NORMAL</t>
        </is>
      </c>
      <c r="AF14" s="22">
        <f>IF(OR(AE14="",C14=""),"",IF(C14="ATTACK",IF(AE14="ATTACK","TP","FN"),IF(AE14="ATTACK","FP","TN")))</f>
        <v/>
      </c>
    </row>
    <row r="15" ht="15" customHeight="1" s="18">
      <c r="A15" s="21" t="inlineStr">
        <is>
          <t>N14</t>
        </is>
      </c>
      <c r="B15" s="21" t="inlineStr">
        <is>
          <t>Second trusted SCADA host</t>
        </is>
      </c>
      <c r="C15" s="21" t="inlineStr">
        <is>
          <t>NORMAL</t>
        </is>
      </c>
      <c r="D15" s="21" t="inlineStr">
        <is>
          <t>-</t>
        </is>
      </c>
      <c r="E15" s="21" t="inlineStr">
        <is>
          <t>192.168.1.10</t>
        </is>
      </c>
      <c r="F15" s="21" t="n">
        <v>16</v>
      </c>
      <c r="G15" s="21" t="inlineStr">
        <is>
          <t>COOLING_VALVE</t>
        </is>
      </c>
      <c r="H15" s="21" t="n">
        <v>46</v>
      </c>
      <c r="I15" s="21" t="inlineStr">
        <is>
          <t>valid</t>
        </is>
      </c>
      <c r="J15" s="21" t="n">
        <v>1</v>
      </c>
      <c r="K15" s="21" t="n">
        <v>12</v>
      </c>
      <c r="L15" s="21" t="n">
        <v>50</v>
      </c>
      <c r="M15" s="21" t="n">
        <v>0</v>
      </c>
      <c r="N15" s="21" t="n">
        <v>45</v>
      </c>
      <c r="O15" s="21" t="n">
        <v>60</v>
      </c>
      <c r="P15" s="21" t="n">
        <v>40</v>
      </c>
      <c r="Q15" s="21" t="n">
        <v>45</v>
      </c>
      <c r="R15" s="21" t="n">
        <v>1500</v>
      </c>
      <c r="S15" s="21" t="n">
        <v>100</v>
      </c>
      <c r="T15" s="21" t="n">
        <v>80</v>
      </c>
      <c r="U15" s="21" t="n">
        <v>50</v>
      </c>
      <c r="V15" s="21" t="n"/>
      <c r="W15" s="21" t="inlineStr">
        <is>
          <t>Signed command from the other whitelisted SCADA address</t>
        </is>
      </c>
      <c r="X15" s="22" t="inlineStr">
        <is>
          <t>PASS</t>
        </is>
      </c>
      <c r="Y15" s="22" t="inlineStr">
        <is>
          <t>OK</t>
        </is>
      </c>
      <c r="Z15" s="22" t="inlineStr">
        <is>
          <t>PASS</t>
        </is>
      </c>
      <c r="AA15" s="22" t="inlineStr">
        <is>
          <t>OK</t>
        </is>
      </c>
      <c r="AB15" s="22" t="inlineStr">
        <is>
          <t>PASS</t>
        </is>
      </c>
      <c r="AC15" s="22" t="inlineStr">
        <is>
          <t>OK</t>
        </is>
      </c>
      <c r="AD15" s="22" t="inlineStr">
        <is>
          <t>-</t>
        </is>
      </c>
      <c r="AE15" s="22" t="inlineStr">
        <is>
          <t>NORMAL</t>
        </is>
      </c>
      <c r="AF15" s="22">
        <f>IF(OR(AE15="",C15=""),"",IF(C15="ATTACK",IF(AE15="ATTACK","TP","FN"),IF(AE15="ATTACK","FP","TN")))</f>
        <v/>
      </c>
    </row>
    <row r="16" ht="15" customHeight="1" s="18">
      <c r="A16" s="21" t="inlineStr">
        <is>
          <t>N15</t>
        </is>
      </c>
      <c r="B16" s="21" t="inlineStr">
        <is>
          <t>Pressure and heat both high but below limits</t>
        </is>
      </c>
      <c r="C16" s="21" t="inlineStr">
        <is>
          <t>NORMAL</t>
        </is>
      </c>
      <c r="D16" s="21" t="inlineStr">
        <is>
          <t>-</t>
        </is>
      </c>
      <c r="E16" s="21" t="inlineStr">
        <is>
          <t>127.0.0.1</t>
        </is>
      </c>
      <c r="F16" s="21" t="n">
        <v>16</v>
      </c>
      <c r="G16" s="21" t="inlineStr">
        <is>
          <t>HEATER_TEMP</t>
        </is>
      </c>
      <c r="H16" s="21" t="n">
        <v>124</v>
      </c>
      <c r="I16" s="21" t="inlineStr">
        <is>
          <t>valid</t>
        </is>
      </c>
      <c r="J16" s="21" t="n">
        <v>1</v>
      </c>
      <c r="K16" s="21" t="n">
        <v>10</v>
      </c>
      <c r="L16" s="21" t="n">
        <v>84</v>
      </c>
      <c r="M16" s="21" t="n">
        <v>0</v>
      </c>
      <c r="N16" s="21" t="n">
        <v>60</v>
      </c>
      <c r="O16" s="21" t="n">
        <v>115</v>
      </c>
      <c r="P16" s="21" t="n">
        <v>40</v>
      </c>
      <c r="Q16" s="21" t="n">
        <v>45</v>
      </c>
      <c r="R16" s="21" t="n">
        <v>1500</v>
      </c>
      <c r="S16" s="21" t="n">
        <v>100</v>
      </c>
      <c r="T16" s="21" t="n">
        <v>80</v>
      </c>
      <c r="U16" s="21" t="n">
        <v>50</v>
      </c>
      <c r="V16" s="21" t="n"/>
      <c r="W16" s="21" t="n"/>
      <c r="X16" s="22" t="inlineStr">
        <is>
          <t>PASS</t>
        </is>
      </c>
      <c r="Y16" s="22" t="inlineStr">
        <is>
          <t>OK</t>
        </is>
      </c>
      <c r="Z16" s="22" t="inlineStr">
        <is>
          <t>PASS</t>
        </is>
      </c>
      <c r="AA16" s="22" t="inlineStr">
        <is>
          <t>OK</t>
        </is>
      </c>
      <c r="AB16" s="22" t="inlineStr">
        <is>
          <t>PASS</t>
        </is>
      </c>
      <c r="AC16" s="22" t="inlineStr">
        <is>
          <t>OK</t>
        </is>
      </c>
      <c r="AD16" s="22" t="inlineStr">
        <is>
          <t>-</t>
        </is>
      </c>
      <c r="AE16" s="22" t="inlineStr">
        <is>
          <t>NORMAL</t>
        </is>
      </c>
      <c r="AF16" s="22">
        <f>IF(OR(AE16="",C16=""),"",IF(C16="ATTACK",IF(AE16="ATTACK","TP","FN"),IF(AE16="ATTACK","FP","TN")))</f>
        <v/>
      </c>
    </row>
    <row r="17" ht="15" customHeight="1" s="18">
      <c r="A17" s="21" t="inlineStr">
        <is>
          <t>N16</t>
        </is>
      </c>
      <c r="B17" s="21" t="inlineStr">
        <is>
          <t>Fast conveyor, moderate pressure</t>
        </is>
      </c>
      <c r="C17" s="21" t="inlineStr">
        <is>
          <t>NORMAL</t>
        </is>
      </c>
      <c r="D17" s="21" t="inlineStr">
        <is>
          <t>-</t>
        </is>
      </c>
      <c r="E17" s="21" t="inlineStr">
        <is>
          <t>127.0.0.1</t>
        </is>
      </c>
      <c r="F17" s="21" t="n">
        <v>16</v>
      </c>
      <c r="G17" s="21" t="inlineStr">
        <is>
          <t>CONVEYOR_SPEED</t>
        </is>
      </c>
      <c r="H17" s="21" t="n">
        <v>110</v>
      </c>
      <c r="I17" s="21" t="inlineStr">
        <is>
          <t>valid</t>
        </is>
      </c>
      <c r="J17" s="21" t="n">
        <v>1</v>
      </c>
      <c r="K17" s="21" t="n">
        <v>5</v>
      </c>
      <c r="L17" s="21" t="n">
        <v>80</v>
      </c>
      <c r="M17" s="21" t="n">
        <v>100</v>
      </c>
      <c r="N17" s="21" t="n">
        <v>45</v>
      </c>
      <c r="O17" s="21" t="n">
        <v>60</v>
      </c>
      <c r="P17" s="21" t="n">
        <v>40</v>
      </c>
      <c r="Q17" s="21" t="n">
        <v>45</v>
      </c>
      <c r="R17" s="21" t="n">
        <v>1500</v>
      </c>
      <c r="S17" s="21" t="n">
        <v>100</v>
      </c>
      <c r="T17" s="21" t="n">
        <v>80</v>
      </c>
      <c r="U17" s="21" t="n">
        <v>50</v>
      </c>
      <c r="V17" s="21" t="n"/>
      <c r="W17" s="21" t="n"/>
      <c r="X17" s="22" t="inlineStr">
        <is>
          <t>PASS</t>
        </is>
      </c>
      <c r="Y17" s="22" t="inlineStr">
        <is>
          <t>OK</t>
        </is>
      </c>
      <c r="Z17" s="22" t="inlineStr">
        <is>
          <t>PASS</t>
        </is>
      </c>
      <c r="AA17" s="22" t="inlineStr">
        <is>
          <t>OK</t>
        </is>
      </c>
      <c r="AB17" s="22" t="inlineStr">
        <is>
          <t>PASS</t>
        </is>
      </c>
      <c r="AC17" s="22" t="inlineStr">
        <is>
          <t>OK</t>
        </is>
      </c>
      <c r="AD17" s="22" t="inlineStr">
        <is>
          <t>-</t>
        </is>
      </c>
      <c r="AE17" s="22" t="inlineStr">
        <is>
          <t>NORMAL</t>
        </is>
      </c>
      <c r="AF17" s="22">
        <f>IF(OR(AE17="",C17=""),"",IF(C17="ATTACK",IF(AE17="ATTACK","TP","FN"),IF(AE17="ATTACK","FP","TN")))</f>
        <v/>
      </c>
    </row>
    <row r="18" ht="15" customHeight="1" s="18">
      <c r="A18" s="21" t="inlineStr">
        <is>
          <t>N17</t>
        </is>
      </c>
      <c r="B18" s="21" t="inlineStr">
        <is>
          <t>Cooling reduced at normal pressure</t>
        </is>
      </c>
      <c r="C18" s="21" t="inlineStr">
        <is>
          <t>NORMAL</t>
        </is>
      </c>
      <c r="D18" s="21" t="inlineStr">
        <is>
          <t>-</t>
        </is>
      </c>
      <c r="E18" s="21" t="inlineStr">
        <is>
          <t>127.0.0.1</t>
        </is>
      </c>
      <c r="F18" s="21" t="n">
        <v>16</v>
      </c>
      <c r="G18" s="21" t="inlineStr">
        <is>
          <t>COOLING_VALVE</t>
        </is>
      </c>
      <c r="H18" s="21" t="n">
        <v>44</v>
      </c>
      <c r="I18" s="21" t="inlineStr">
        <is>
          <t>valid</t>
        </is>
      </c>
      <c r="J18" s="21" t="n">
        <v>1</v>
      </c>
      <c r="K18" s="21" t="n">
        <v>5</v>
      </c>
      <c r="L18" s="21" t="n">
        <v>30</v>
      </c>
      <c r="M18" s="21" t="n">
        <v>0</v>
      </c>
      <c r="N18" s="21" t="n">
        <v>60</v>
      </c>
      <c r="O18" s="21" t="n">
        <v>60</v>
      </c>
      <c r="P18" s="21" t="n">
        <v>40</v>
      </c>
      <c r="Q18" s="21" t="n">
        <v>45</v>
      </c>
      <c r="R18" s="21" t="n">
        <v>1500</v>
      </c>
      <c r="S18" s="21" t="n">
        <v>100</v>
      </c>
      <c r="T18" s="21" t="n">
        <v>80</v>
      </c>
      <c r="U18" s="21" t="n">
        <v>50</v>
      </c>
      <c r="V18" s="21" t="n"/>
      <c r="W18" s="21" t="n"/>
      <c r="X18" s="22" t="inlineStr">
        <is>
          <t>PASS</t>
        </is>
      </c>
      <c r="Y18" s="22" t="inlineStr">
        <is>
          <t>OK</t>
        </is>
      </c>
      <c r="Z18" s="22" t="inlineStr">
        <is>
          <t>PASS</t>
        </is>
      </c>
      <c r="AA18" s="22" t="inlineStr">
        <is>
          <t>OK</t>
        </is>
      </c>
      <c r="AB18" s="22" t="inlineStr">
        <is>
          <t>PASS</t>
        </is>
      </c>
      <c r="AC18" s="22" t="inlineStr">
        <is>
          <t>OK</t>
        </is>
      </c>
      <c r="AD18" s="22" t="inlineStr">
        <is>
          <t>-</t>
        </is>
      </c>
      <c r="AE18" s="22" t="inlineStr">
        <is>
          <t>NORMAL</t>
        </is>
      </c>
      <c r="AF18" s="22">
        <f>IF(OR(AE18="",C18=""),"",IF(C18="ATTACK",IF(AE18="ATTACK","TP","FN"),IF(AE18="ATTACK","FP","TN")))</f>
        <v/>
      </c>
    </row>
    <row r="19" ht="15" customHeight="1" s="18">
      <c r="A19" s="21" t="inlineStr">
        <is>
          <t>N18</t>
        </is>
      </c>
      <c r="B19" s="21" t="inlineStr">
        <is>
          <t>Emergency fast cooling open</t>
        </is>
      </c>
      <c r="C19" s="21" t="inlineStr">
        <is>
          <t>NORMAL</t>
        </is>
      </c>
      <c r="D19" s="21" t="inlineStr">
        <is>
          <t>-</t>
        </is>
      </c>
      <c r="E19" s="21" t="inlineStr">
        <is>
          <t>127.0.0.1</t>
        </is>
      </c>
      <c r="F19" s="21" t="n">
        <v>16</v>
      </c>
      <c r="G19" s="21" t="inlineStr">
        <is>
          <t>COOLING_VALVE</t>
        </is>
      </c>
      <c r="H19" s="21" t="n">
        <v>80</v>
      </c>
      <c r="I19" s="21" t="inlineStr">
        <is>
          <t>valid</t>
        </is>
      </c>
      <c r="J19" s="21" t="n">
        <v>1</v>
      </c>
      <c r="K19" s="21" t="n">
        <v>1</v>
      </c>
      <c r="L19" s="21" t="n">
        <v>50</v>
      </c>
      <c r="M19" s="21" t="n">
        <v>0</v>
      </c>
      <c r="N19" s="21" t="n">
        <v>45</v>
      </c>
      <c r="O19" s="21" t="n">
        <v>60</v>
      </c>
      <c r="P19" s="21" t="n">
        <v>40</v>
      </c>
      <c r="Q19" s="21" t="n">
        <v>45</v>
      </c>
      <c r="R19" s="21" t="n">
        <v>1500</v>
      </c>
      <c r="S19" s="21" t="n">
        <v>100</v>
      </c>
      <c r="T19" s="21" t="n">
        <v>80</v>
      </c>
      <c r="U19" s="21" t="n">
        <v>50</v>
      </c>
      <c r="V19" s="21" t="n"/>
      <c r="W19" s="21" t="inlineStr">
        <is>
          <t>Legitimate emergency action faster than the valve ramp (edge case)</t>
        </is>
      </c>
      <c r="X19" s="22" t="inlineStr">
        <is>
          <t>PASS</t>
        </is>
      </c>
      <c r="Y19" s="22" t="inlineStr">
        <is>
          <t>OK</t>
        </is>
      </c>
      <c r="Z19" s="22" t="inlineStr">
        <is>
          <t>FAIL</t>
        </is>
      </c>
      <c r="AA19" s="22" t="inlineStr">
        <is>
          <t>RATE_OF_CHANGE_EXCEEDED:COOLING_VALVE Δ35.00 &gt; max 5.50 in 1.000s</t>
        </is>
      </c>
      <c r="AB19" s="22" t="inlineStr">
        <is>
          <t>DROP</t>
        </is>
      </c>
      <c r="AC19" s="22" t="inlineStr">
        <is>
          <t>RATE_OF_CHANGE_EXCEEDED:COOLING_VALVE Δ35.00 &gt; max 5.50 in 1.000s</t>
        </is>
      </c>
      <c r="AD19" s="22" t="inlineStr">
        <is>
          <t>Rate-of-Change Violation</t>
        </is>
      </c>
      <c r="AE19" s="22" t="inlineStr">
        <is>
          <t>ATTACK</t>
        </is>
      </c>
      <c r="AF19" s="22">
        <f>IF(OR(AE19="",C19=""),"",IF(C19="ATTACK",IF(AE19="ATTACK","TP","FN"),IF(AE19="ATTACK","FP","TN")))</f>
        <v/>
      </c>
    </row>
    <row r="20" ht="15" customHeight="1" s="18">
      <c r="A20" s="21" t="inlineStr">
        <is>
          <t>N19</t>
        </is>
      </c>
      <c r="B20" s="21" t="inlineStr">
        <is>
          <t>Short operator burst</t>
        </is>
      </c>
      <c r="C20" s="21" t="inlineStr">
        <is>
          <t>NORMAL</t>
        </is>
      </c>
      <c r="D20" s="21" t="inlineStr">
        <is>
          <t>-</t>
        </is>
      </c>
      <c r="E20" s="21" t="inlineStr">
        <is>
          <t>127.0.0.1</t>
        </is>
      </c>
      <c r="F20" s="21" t="n">
        <v>16</v>
      </c>
      <c r="G20" s="21" t="inlineStr">
        <is>
          <t>RELIEF_VALVE</t>
        </is>
      </c>
      <c r="H20" s="21" t="n">
        <v>46</v>
      </c>
      <c r="I20" s="21" t="inlineStr">
        <is>
          <t>valid</t>
        </is>
      </c>
      <c r="J20" s="21" t="n">
        <v>3</v>
      </c>
      <c r="K20" s="21" t="n">
        <v>12</v>
      </c>
      <c r="L20" s="21" t="n">
        <v>50</v>
      </c>
      <c r="M20" s="21" t="n">
        <v>0</v>
      </c>
      <c r="N20" s="21" t="n">
        <v>45</v>
      </c>
      <c r="O20" s="21" t="n">
        <v>60</v>
      </c>
      <c r="P20" s="21" t="n">
        <v>40</v>
      </c>
      <c r="Q20" s="21" t="n">
        <v>45</v>
      </c>
      <c r="R20" s="21" t="n">
        <v>1500</v>
      </c>
      <c r="S20" s="21" t="n">
        <v>100</v>
      </c>
      <c r="T20" s="21" t="n">
        <v>80</v>
      </c>
      <c r="U20" s="21" t="n">
        <v>50</v>
      </c>
      <c r="V20" s="21" t="n"/>
      <c r="W20" s="21" t="inlineStr">
        <is>
          <t>3 quick legitimate adjustments (below 5 req/s)</t>
        </is>
      </c>
      <c r="X20" s="22" t="inlineStr">
        <is>
          <t>PASS</t>
        </is>
      </c>
      <c r="Y20" s="22" t="inlineStr">
        <is>
          <t>OK</t>
        </is>
      </c>
      <c r="Z20" s="22" t="inlineStr">
        <is>
          <t>PASS</t>
        </is>
      </c>
      <c r="AA20" s="22" t="inlineStr">
        <is>
          <t>OK</t>
        </is>
      </c>
      <c r="AB20" s="22" t="inlineStr">
        <is>
          <t>PASS</t>
        </is>
      </c>
      <c r="AC20" s="22" t="inlineStr">
        <is>
          <t>OK</t>
        </is>
      </c>
      <c r="AD20" s="22" t="inlineStr">
        <is>
          <t>-</t>
        </is>
      </c>
      <c r="AE20" s="22" t="inlineStr">
        <is>
          <t>NORMAL</t>
        </is>
      </c>
      <c r="AF20" s="22">
        <f>IF(OR(AE20="",C20=""),"",IF(C20="ATTACK",IF(AE20="ATTACK","TP","FN"),IF(AE20="ATTACK","FP","TN")))</f>
        <v/>
      </c>
    </row>
    <row r="21" ht="15" customHeight="1" s="18">
      <c r="A21" s="21" t="inlineStr">
        <is>
          <t>N20</t>
        </is>
      </c>
      <c r="B21" s="21" t="inlineStr">
        <is>
          <t>Operator relief step</t>
        </is>
      </c>
      <c r="C21" s="21" t="inlineStr">
        <is>
          <t>NORMAL</t>
        </is>
      </c>
      <c r="D21" s="21" t="inlineStr">
        <is>
          <t>-</t>
        </is>
      </c>
      <c r="E21" s="21" t="inlineStr">
        <is>
          <t>127.0.0.1</t>
        </is>
      </c>
      <c r="F21" s="21" t="n">
        <v>16</v>
      </c>
      <c r="G21" s="21" t="inlineStr">
        <is>
          <t>RELIEF_VALVE</t>
        </is>
      </c>
      <c r="H21" s="21" t="n">
        <v>51</v>
      </c>
      <c r="I21" s="21" t="inlineStr">
        <is>
          <t>valid</t>
        </is>
      </c>
      <c r="J21" s="21" t="n">
        <v>1</v>
      </c>
      <c r="K21" s="21" t="n">
        <v>12</v>
      </c>
      <c r="L21" s="21" t="n">
        <v>50</v>
      </c>
      <c r="M21" s="21" t="n">
        <v>0</v>
      </c>
      <c r="N21" s="21" t="n">
        <v>45</v>
      </c>
      <c r="O21" s="21" t="n">
        <v>60</v>
      </c>
      <c r="P21" s="21" t="n">
        <v>40</v>
      </c>
      <c r="Q21" s="21" t="n">
        <v>50</v>
      </c>
      <c r="R21" s="21" t="n">
        <v>1500</v>
      </c>
      <c r="S21" s="21" t="n">
        <v>100</v>
      </c>
      <c r="T21" s="21" t="n">
        <v>80</v>
      </c>
      <c r="U21" s="21" t="n">
        <v>50</v>
      </c>
      <c r="V21" s="21" t="n"/>
      <c r="W21" s="21" t="n"/>
      <c r="X21" s="22" t="inlineStr">
        <is>
          <t>PASS</t>
        </is>
      </c>
      <c r="Y21" s="22" t="inlineStr">
        <is>
          <t>OK</t>
        </is>
      </c>
      <c r="Z21" s="22" t="inlineStr">
        <is>
          <t>PASS</t>
        </is>
      </c>
      <c r="AA21" s="22" t="inlineStr">
        <is>
          <t>OK</t>
        </is>
      </c>
      <c r="AB21" s="22" t="inlineStr">
        <is>
          <t>PASS</t>
        </is>
      </c>
      <c r="AC21" s="22" t="inlineStr">
        <is>
          <t>OK</t>
        </is>
      </c>
      <c r="AD21" s="22" t="inlineStr">
        <is>
          <t>-</t>
        </is>
      </c>
      <c r="AE21" s="22" t="inlineStr">
        <is>
          <t>NORMAL</t>
        </is>
      </c>
      <c r="AF21" s="22">
        <f>IF(OR(AE21="",C21=""),"",IF(C21="ATTACK",IF(AE21="ATTACK","TP","FN"),IF(AE21="ATTACK","FP","TN")))</f>
        <v/>
      </c>
    </row>
    <row r="22" ht="15" customHeight="1" s="18">
      <c r="A22" s="21" t="inlineStr">
        <is>
          <t>A01</t>
        </is>
      </c>
      <c r="B22" s="21" t="inlineStr">
        <is>
          <t>Unsigned command</t>
        </is>
      </c>
      <c r="C22" s="21" t="inlineStr">
        <is>
          <t>ATTACK</t>
        </is>
      </c>
      <c r="D22" s="21" t="inlineStr">
        <is>
          <t>Missing HMAC (Unsigned Command)</t>
        </is>
      </c>
      <c r="E22" s="21" t="inlineStr">
        <is>
          <t>127.0.0.1</t>
        </is>
      </c>
      <c r="F22" s="21" t="n">
        <v>6</v>
      </c>
      <c r="G22" s="21" t="inlineStr">
        <is>
          <t>COOLING_VALVE</t>
        </is>
      </c>
      <c r="H22" s="21" t="n">
        <v>46</v>
      </c>
      <c r="I22" s="21" t="inlineStr">
        <is>
          <t>missing</t>
        </is>
      </c>
      <c r="J22" s="21" t="n">
        <v>1</v>
      </c>
      <c r="K22" s="21" t="n">
        <v>12</v>
      </c>
      <c r="L22" s="21" t="n">
        <v>50</v>
      </c>
      <c r="M22" s="21" t="n">
        <v>0</v>
      </c>
      <c r="N22" s="21" t="n">
        <v>45</v>
      </c>
      <c r="O22" s="21" t="n">
        <v>60</v>
      </c>
      <c r="P22" s="21" t="n">
        <v>40</v>
      </c>
      <c r="Q22" s="21" t="n">
        <v>45</v>
      </c>
      <c r="R22" s="21" t="n">
        <v>1500</v>
      </c>
      <c r="S22" s="21" t="n">
        <v>100</v>
      </c>
      <c r="T22" s="21" t="n">
        <v>80</v>
      </c>
      <c r="U22" s="21" t="n">
        <v>50</v>
      </c>
      <c r="V22" s="21" t="n"/>
      <c r="W22" s="21" t="inlineStr">
        <is>
          <t>Plain FC6 write with no HMAC</t>
        </is>
      </c>
      <c r="X22" s="22" t="inlineStr">
        <is>
          <t>FAIL</t>
        </is>
      </c>
      <c r="Y22" s="22" t="inlineStr">
        <is>
          <t>HMAC_MISSING:command carried no HMAC signature</t>
        </is>
      </c>
      <c r="Z22" s="22" t="inlineStr">
        <is>
          <t>PASS</t>
        </is>
      </c>
      <c r="AA22" s="22" t="inlineStr">
        <is>
          <t>OK</t>
        </is>
      </c>
      <c r="AB22" s="22" t="inlineStr">
        <is>
          <t>DROP</t>
        </is>
      </c>
      <c r="AC22" s="22" t="inlineStr">
        <is>
          <t>HMAC_MISSING:command carried no HMAC signature</t>
        </is>
      </c>
      <c r="AD22" s="22" t="inlineStr">
        <is>
          <t>Missing HMAC (Unsigned Command)</t>
        </is>
      </c>
      <c r="AE22" s="22" t="inlineStr">
        <is>
          <t>ATTACK</t>
        </is>
      </c>
      <c r="AF22" s="22">
        <f>IF(OR(AE22="",C22=""),"",IF(C22="ATTACK",IF(AE22="ATTACK","TP","FN"),IF(AE22="ATTACK","FP","TN")))</f>
        <v/>
      </c>
    </row>
    <row r="23" ht="15" customHeight="1" s="18">
      <c r="A23" s="21" t="inlineStr">
        <is>
          <t>A02</t>
        </is>
      </c>
      <c r="B23" s="21" t="inlineStr">
        <is>
          <t>Value tampered in transit</t>
        </is>
      </c>
      <c r="C23" s="21" t="inlineStr">
        <is>
          <t>ATTACK</t>
        </is>
      </c>
      <c r="D23" s="21" t="inlineStr">
        <is>
          <t>Tampered / Forged HMAC</t>
        </is>
      </c>
      <c r="E23" s="21" t="inlineStr">
        <is>
          <t>127.0.0.1</t>
        </is>
      </c>
      <c r="F23" s="21" t="n">
        <v>16</v>
      </c>
      <c r="G23" s="21" t="inlineStr">
        <is>
          <t>HEATER_TEMP</t>
        </is>
      </c>
      <c r="H23" s="21" t="n">
        <v>61</v>
      </c>
      <c r="I23" s="21" t="inlineStr">
        <is>
          <t>tampered</t>
        </is>
      </c>
      <c r="J23" s="21" t="n">
        <v>1</v>
      </c>
      <c r="K23" s="21" t="n">
        <v>12</v>
      </c>
      <c r="L23" s="21" t="n">
        <v>50</v>
      </c>
      <c r="M23" s="21" t="n">
        <v>0</v>
      </c>
      <c r="N23" s="21" t="n">
        <v>45</v>
      </c>
      <c r="O23" s="21" t="n">
        <v>60</v>
      </c>
      <c r="P23" s="21" t="n">
        <v>40</v>
      </c>
      <c r="Q23" s="21" t="n">
        <v>45</v>
      </c>
      <c r="R23" s="21" t="n">
        <v>1500</v>
      </c>
      <c r="S23" s="21" t="n">
        <v>100</v>
      </c>
      <c r="T23" s="21" t="n">
        <v>80</v>
      </c>
      <c r="U23" s="21" t="n">
        <v>50</v>
      </c>
      <c r="V23" s="21" t="n"/>
      <c r="W23" s="21" t="inlineStr">
        <is>
          <t>Signed 61 C, value changed to 140 C, original tag kept</t>
        </is>
      </c>
      <c r="X23" s="22" t="inlineStr">
        <is>
          <t>FAIL</t>
        </is>
      </c>
      <c r="Y23" s="22" t="inlineStr">
        <is>
          <t>HMAC_INVALID:HMAC tag does not match command (tampered or wrong key)</t>
        </is>
      </c>
      <c r="Z23" s="22" t="inlineStr">
        <is>
          <t>FAIL</t>
        </is>
      </c>
      <c r="AA23" s="22" t="inlineStr">
        <is>
          <t>RATE_OF_CHANGE_EXCEEDED:HEATER_TEMP Δ80.00 &gt; max 66.00 in 12.000s</t>
        </is>
      </c>
      <c r="AB23" s="22" t="inlineStr">
        <is>
          <t>DROP</t>
        </is>
      </c>
      <c r="AC23" s="22" t="inlineStr">
        <is>
          <t>HMAC_INVALID:HMAC tag does not match command (tampered or wrong key)</t>
        </is>
      </c>
      <c r="AD23" s="22" t="inlineStr">
        <is>
          <t>Tampered / Forged HMAC</t>
        </is>
      </c>
      <c r="AE23" s="22" t="inlineStr">
        <is>
          <t>ATTACK</t>
        </is>
      </c>
      <c r="AF23" s="22">
        <f>IF(OR(AE23="",C23=""),"",IF(C23="ATTACK",IF(AE23="ATTACK","TP","FN"),IF(AE23="ATTACK","FP","TN")))</f>
        <v/>
      </c>
    </row>
    <row r="24" ht="15" customHeight="1" s="18">
      <c r="A24" s="21" t="inlineStr">
        <is>
          <t>A03</t>
        </is>
      </c>
      <c r="B24" s="21" t="inlineStr">
        <is>
          <t>Forged signature</t>
        </is>
      </c>
      <c r="C24" s="21" t="inlineStr">
        <is>
          <t>ATTACK</t>
        </is>
      </c>
      <c r="D24" s="21" t="inlineStr">
        <is>
          <t>Tampered / Forged HMAC</t>
        </is>
      </c>
      <c r="E24" s="21" t="inlineStr">
        <is>
          <t>127.0.0.1</t>
        </is>
      </c>
      <c r="F24" s="21" t="n">
        <v>16</v>
      </c>
      <c r="G24" s="21" t="inlineStr">
        <is>
          <t>COOLING_VALVE</t>
        </is>
      </c>
      <c r="H24" s="21" t="n">
        <v>46</v>
      </c>
      <c r="I24" s="21" t="inlineStr">
        <is>
          <t>wrong_key</t>
        </is>
      </c>
      <c r="J24" s="21" t="n">
        <v>1</v>
      </c>
      <c r="K24" s="21" t="n">
        <v>12</v>
      </c>
      <c r="L24" s="21" t="n">
        <v>50</v>
      </c>
      <c r="M24" s="21" t="n">
        <v>0</v>
      </c>
      <c r="N24" s="21" t="n">
        <v>45</v>
      </c>
      <c r="O24" s="21" t="n">
        <v>60</v>
      </c>
      <c r="P24" s="21" t="n">
        <v>40</v>
      </c>
      <c r="Q24" s="21" t="n">
        <v>45</v>
      </c>
      <c r="R24" s="21" t="n">
        <v>1500</v>
      </c>
      <c r="S24" s="21" t="n">
        <v>100</v>
      </c>
      <c r="T24" s="21" t="n">
        <v>80</v>
      </c>
      <c r="U24" s="21" t="n">
        <v>50</v>
      </c>
      <c r="V24" s="21" t="n"/>
      <c r="W24" s="21" t="inlineStr">
        <is>
          <t>Signed with an attacker-chosen key</t>
        </is>
      </c>
      <c r="X24" s="22" t="inlineStr">
        <is>
          <t>FAIL</t>
        </is>
      </c>
      <c r="Y24" s="22" t="inlineStr">
        <is>
          <t>HMAC_INVALID:HMAC tag does not match command (tampered or wrong key)</t>
        </is>
      </c>
      <c r="Z24" s="22" t="inlineStr">
        <is>
          <t>PASS</t>
        </is>
      </c>
      <c r="AA24" s="22" t="inlineStr">
        <is>
          <t>OK</t>
        </is>
      </c>
      <c r="AB24" s="22" t="inlineStr">
        <is>
          <t>DROP</t>
        </is>
      </c>
      <c r="AC24" s="22" t="inlineStr">
        <is>
          <t>HMAC_INVALID:HMAC tag does not match command (tampered or wrong key)</t>
        </is>
      </c>
      <c r="AD24" s="22" t="inlineStr">
        <is>
          <t>Tampered / Forged HMAC</t>
        </is>
      </c>
      <c r="AE24" s="22" t="inlineStr">
        <is>
          <t>ATTACK</t>
        </is>
      </c>
      <c r="AF24" s="22">
        <f>IF(OR(AE24="",C24=""),"",IF(C24="ATTACK",IF(AE24="ATTACK","TP","FN"),IF(AE24="ATTACK","FP","TN")))</f>
        <v/>
      </c>
    </row>
    <row r="25" ht="15" customHeight="1" s="18">
      <c r="A25" s="21" t="inlineStr">
        <is>
          <t>A04</t>
        </is>
      </c>
      <c r="B25" s="21" t="inlineStr">
        <is>
          <t>Delayed replay (expired)</t>
        </is>
      </c>
      <c r="C25" s="21" t="inlineStr">
        <is>
          <t>ATTACK</t>
        </is>
      </c>
      <c r="D25" s="21" t="inlineStr">
        <is>
          <t>Expired Signature (Delayed Replay)</t>
        </is>
      </c>
      <c r="E25" s="21" t="inlineStr">
        <is>
          <t>127.0.0.1</t>
        </is>
      </c>
      <c r="F25" s="21" t="n">
        <v>16</v>
      </c>
      <c r="G25" s="21" t="inlineStr">
        <is>
          <t>CONVEYOR_SPEED</t>
        </is>
      </c>
      <c r="H25" s="21" t="n">
        <v>2</v>
      </c>
      <c r="I25" s="21" t="inlineStr">
        <is>
          <t>expired</t>
        </is>
      </c>
      <c r="J25" s="21" t="n">
        <v>1</v>
      </c>
      <c r="K25" s="21" t="n">
        <v>12</v>
      </c>
      <c r="L25" s="21" t="n">
        <v>50</v>
      </c>
      <c r="M25" s="21" t="n">
        <v>0</v>
      </c>
      <c r="N25" s="21" t="n">
        <v>45</v>
      </c>
      <c r="O25" s="21" t="n">
        <v>60</v>
      </c>
      <c r="P25" s="21" t="n">
        <v>40</v>
      </c>
      <c r="Q25" s="21" t="n">
        <v>45</v>
      </c>
      <c r="R25" s="21" t="n">
        <v>1500</v>
      </c>
      <c r="S25" s="21" t="n">
        <v>100</v>
      </c>
      <c r="T25" s="21" t="n">
        <v>80</v>
      </c>
      <c r="U25" s="21" t="n">
        <v>50</v>
      </c>
      <c r="V25" s="21" t="n"/>
      <c r="W25" s="21" t="inlineStr">
        <is>
          <t>Correct signature, timestamp 5 minutes old</t>
        </is>
      </c>
      <c r="X25" s="22" t="inlineStr">
        <is>
          <t>FAIL</t>
        </is>
      </c>
      <c r="Y25" s="22" t="inlineStr">
        <is>
          <t>HMAC_EXPIRED:signed timestamp outside +/-30s freshness window</t>
        </is>
      </c>
      <c r="Z25" s="22" t="inlineStr">
        <is>
          <t>PASS</t>
        </is>
      </c>
      <c r="AA25" s="22" t="inlineStr">
        <is>
          <t>OK</t>
        </is>
      </c>
      <c r="AB25" s="22" t="inlineStr">
        <is>
          <t>DROP</t>
        </is>
      </c>
      <c r="AC25" s="22" t="inlineStr">
        <is>
          <t>HMAC_EXPIRED:signed timestamp outside +/-30s freshness window</t>
        </is>
      </c>
      <c r="AD25" s="22" t="inlineStr">
        <is>
          <t>Expired Signature (Delayed Replay)</t>
        </is>
      </c>
      <c r="AE25" s="22" t="inlineStr">
        <is>
          <t>ATTACK</t>
        </is>
      </c>
      <c r="AF25" s="22">
        <f>IF(OR(AE25="",C25=""),"",IF(C25="ATTACK",IF(AE25="ATTACK","TP","FN"),IF(AE25="ATTACK","FP","TN")))</f>
        <v/>
      </c>
    </row>
    <row r="26" ht="15" customHeight="1" s="18">
      <c r="A26" s="21" t="inlineStr">
        <is>
          <t>A05</t>
        </is>
      </c>
      <c r="B26" s="21" t="inlineStr">
        <is>
          <t>Immediate replay</t>
        </is>
      </c>
      <c r="C26" s="21" t="inlineStr">
        <is>
          <t>ATTACK</t>
        </is>
      </c>
      <c r="D26" s="21" t="inlineStr">
        <is>
          <t>Replay</t>
        </is>
      </c>
      <c r="E26" s="21" t="inlineStr">
        <is>
          <t>127.0.0.1</t>
        </is>
      </c>
      <c r="F26" s="21" t="n">
        <v>16</v>
      </c>
      <c r="G26" s="21" t="inlineStr">
        <is>
          <t>CONVEYOR_SPEED</t>
        </is>
      </c>
      <c r="H26" s="21" t="n">
        <v>2</v>
      </c>
      <c r="I26" s="21" t="inlineStr">
        <is>
          <t>replayed</t>
        </is>
      </c>
      <c r="J26" s="21" t="n">
        <v>1</v>
      </c>
      <c r="K26" s="21" t="n">
        <v>12</v>
      </c>
      <c r="L26" s="21" t="n">
        <v>50</v>
      </c>
      <c r="M26" s="21" t="n">
        <v>0</v>
      </c>
      <c r="N26" s="21" t="n">
        <v>45</v>
      </c>
      <c r="O26" s="21" t="n">
        <v>60</v>
      </c>
      <c r="P26" s="21" t="n">
        <v>40</v>
      </c>
      <c r="Q26" s="21" t="n">
        <v>45</v>
      </c>
      <c r="R26" s="21" t="n">
        <v>1500</v>
      </c>
      <c r="S26" s="21" t="n">
        <v>100</v>
      </c>
      <c r="T26" s="21" t="n">
        <v>80</v>
      </c>
      <c r="U26" s="21" t="n">
        <v>50</v>
      </c>
      <c r="V26" s="21" t="n"/>
      <c r="W26" s="21" t="inlineStr">
        <is>
          <t>Byte-identical signed frame sent twice; second is evaluated</t>
        </is>
      </c>
      <c r="X26" s="22" t="inlineStr">
        <is>
          <t>FAIL</t>
        </is>
      </c>
      <c r="Y26" s="22" t="inlineStr">
        <is>
          <t>REPLAY_DETECTED:nonce reused</t>
        </is>
      </c>
      <c r="Z26" s="22" t="inlineStr">
        <is>
          <t>PASS</t>
        </is>
      </c>
      <c r="AA26" s="22" t="inlineStr">
        <is>
          <t>OK</t>
        </is>
      </c>
      <c r="AB26" s="22" t="inlineStr">
        <is>
          <t>DROP</t>
        </is>
      </c>
      <c r="AC26" s="22" t="inlineStr">
        <is>
          <t>REPLAY_DETECTED:nonce reused</t>
        </is>
      </c>
      <c r="AD26" s="22" t="inlineStr">
        <is>
          <t>Replay</t>
        </is>
      </c>
      <c r="AE26" s="22" t="inlineStr">
        <is>
          <t>ATTACK</t>
        </is>
      </c>
      <c r="AF26" s="22">
        <f>IF(OR(AE26="",C26=""),"",IF(C26="ATTACK",IF(AE26="ATTACK","TP","FN"),IF(AE26="ATTACK","FP","TN")))</f>
        <v/>
      </c>
    </row>
    <row r="27" ht="15" customHeight="1" s="18">
      <c r="A27" s="21" t="inlineStr">
        <is>
          <t>A06</t>
        </is>
      </c>
      <c r="B27" s="21" t="inlineStr">
        <is>
          <t>Malformed signed frame</t>
        </is>
      </c>
      <c r="C27" s="21" t="inlineStr">
        <is>
          <t>ATTACK</t>
        </is>
      </c>
      <c r="D27" s="21" t="inlineStr">
        <is>
          <t>Malformed Signed Frame</t>
        </is>
      </c>
      <c r="E27" s="21" t="inlineStr">
        <is>
          <t>127.0.0.1</t>
        </is>
      </c>
      <c r="F27" s="21" t="n">
        <v>16</v>
      </c>
      <c r="G27" s="21" t="inlineStr">
        <is>
          <t>COOLING_VALVE</t>
        </is>
      </c>
      <c r="H27" s="21" t="n">
        <v>46</v>
      </c>
      <c r="I27" s="21" t="inlineStr">
        <is>
          <t>malformed</t>
        </is>
      </c>
      <c r="J27" s="21" t="n">
        <v>1</v>
      </c>
      <c r="K27" s="21" t="n">
        <v>12</v>
      </c>
      <c r="L27" s="21" t="n">
        <v>50</v>
      </c>
      <c r="M27" s="21" t="n">
        <v>0</v>
      </c>
      <c r="N27" s="21" t="n">
        <v>45</v>
      </c>
      <c r="O27" s="21" t="n">
        <v>60</v>
      </c>
      <c r="P27" s="21" t="n">
        <v>40</v>
      </c>
      <c r="Q27" s="21" t="n">
        <v>45</v>
      </c>
      <c r="R27" s="21" t="n">
        <v>1500</v>
      </c>
      <c r="S27" s="21" t="n">
        <v>100</v>
      </c>
      <c r="T27" s="21" t="n">
        <v>80</v>
      </c>
      <c r="U27" s="21" t="n">
        <v>50</v>
      </c>
      <c r="V27" s="21" t="n"/>
      <c r="W27" s="21" t="inlineStr">
        <is>
          <t>Truncated HMAC tag</t>
        </is>
      </c>
      <c r="X27" s="22" t="inlineStr">
        <is>
          <t>FAIL</t>
        </is>
      </c>
      <c r="Y27" s="22" t="inlineStr">
        <is>
          <t>HMAC_MALFORMED:HMAC tag has wrong length</t>
        </is>
      </c>
      <c r="Z27" s="22" t="inlineStr">
        <is>
          <t>PASS</t>
        </is>
      </c>
      <c r="AA27" s="22" t="inlineStr">
        <is>
          <t>OK</t>
        </is>
      </c>
      <c r="AB27" s="22" t="inlineStr">
        <is>
          <t>DROP</t>
        </is>
      </c>
      <c r="AC27" s="22" t="inlineStr">
        <is>
          <t>HMAC_MALFORMED:HMAC tag has wrong length</t>
        </is>
      </c>
      <c r="AD27" s="22" t="inlineStr">
        <is>
          <t>Malformed Signed Frame</t>
        </is>
      </c>
      <c r="AE27" s="22" t="inlineStr">
        <is>
          <t>ATTACK</t>
        </is>
      </c>
      <c r="AF27" s="22">
        <f>IF(OR(AE27="",C27=""),"",IF(C27="ATTACK",IF(AE27="ATTACK","TP","FN"),IF(AE27="ATTACK","FP","TN")))</f>
        <v/>
      </c>
    </row>
    <row r="28" ht="15" customHeight="1" s="18">
      <c r="A28" s="21" t="inlineStr">
        <is>
          <t>A07</t>
        </is>
      </c>
      <c r="B28" s="21" t="inlineStr">
        <is>
          <t>Rogue host with stolen key</t>
        </is>
      </c>
      <c r="C28" s="21" t="inlineStr">
        <is>
          <t>ATTACK</t>
        </is>
      </c>
      <c r="D28" s="21" t="inlineStr">
        <is>
          <t>Untrusted Source</t>
        </is>
      </c>
      <c r="E28" s="21" t="inlineStr">
        <is>
          <t>10.0.0.99</t>
        </is>
      </c>
      <c r="F28" s="21" t="n">
        <v>16</v>
      </c>
      <c r="G28" s="21" t="inlineStr">
        <is>
          <t>COOLING_VALVE</t>
        </is>
      </c>
      <c r="H28" s="21" t="n">
        <v>46</v>
      </c>
      <c r="I28" s="21" t="inlineStr">
        <is>
          <t>valid</t>
        </is>
      </c>
      <c r="J28" s="21" t="n">
        <v>1</v>
      </c>
      <c r="K28" s="21" t="n">
        <v>12</v>
      </c>
      <c r="L28" s="21" t="n">
        <v>50</v>
      </c>
      <c r="M28" s="21" t="n">
        <v>0</v>
      </c>
      <c r="N28" s="21" t="n">
        <v>45</v>
      </c>
      <c r="O28" s="21" t="n">
        <v>60</v>
      </c>
      <c r="P28" s="21" t="n">
        <v>40</v>
      </c>
      <c r="Q28" s="21" t="n">
        <v>45</v>
      </c>
      <c r="R28" s="21" t="n">
        <v>1500</v>
      </c>
      <c r="S28" s="21" t="n">
        <v>100</v>
      </c>
      <c r="T28" s="21" t="n">
        <v>80</v>
      </c>
      <c r="U28" s="21" t="n">
        <v>50</v>
      </c>
      <c r="V28" s="21" t="n"/>
      <c r="W28" s="21" t="inlineStr">
        <is>
          <t>Valid signature but connection from a non-SCADA address</t>
        </is>
      </c>
      <c r="X28" s="22" t="inlineStr">
        <is>
          <t>FAIL</t>
        </is>
      </c>
      <c r="Y28" s="22" t="inlineStr">
        <is>
          <t>UNTRUSTED_SOURCE</t>
        </is>
      </c>
      <c r="Z28" s="22" t="inlineStr">
        <is>
          <t>PASS</t>
        </is>
      </c>
      <c r="AA28" s="22" t="inlineStr">
        <is>
          <t>OK</t>
        </is>
      </c>
      <c r="AB28" s="22" t="inlineStr">
        <is>
          <t>DROP</t>
        </is>
      </c>
      <c r="AC28" s="22" t="inlineStr">
        <is>
          <t>UNTRUSTED_SOURCE</t>
        </is>
      </c>
      <c r="AD28" s="22" t="inlineStr">
        <is>
          <t>Untrusted Source</t>
        </is>
      </c>
      <c r="AE28" s="22" t="inlineStr">
        <is>
          <t>ATTACK</t>
        </is>
      </c>
      <c r="AF28" s="22">
        <f>IF(OR(AE28="",C28=""),"",IF(C28="ATTACK",IF(AE28="ATTACK","TP","FN"),IF(AE28="ATTACK","FP","TN")))</f>
        <v/>
      </c>
    </row>
    <row r="29" ht="15" customHeight="1" s="18">
      <c r="A29" s="21" t="inlineStr">
        <is>
          <t>A08</t>
        </is>
      </c>
      <c r="B29" s="21" t="inlineStr">
        <is>
          <t>Probe of unmapped register</t>
        </is>
      </c>
      <c r="C29" s="21" t="inlineStr">
        <is>
          <t>ATTACK</t>
        </is>
      </c>
      <c r="D29" s="21" t="inlineStr">
        <is>
          <t>Invalid Register Access</t>
        </is>
      </c>
      <c r="E29" s="21" t="inlineStr">
        <is>
          <t>127.0.0.1</t>
        </is>
      </c>
      <c r="F29" s="21" t="n">
        <v>16</v>
      </c>
      <c r="G29" s="21" t="inlineStr">
        <is>
          <t>42</t>
        </is>
      </c>
      <c r="H29" s="21" t="n">
        <v>10</v>
      </c>
      <c r="I29" s="21" t="inlineStr">
        <is>
          <t>valid</t>
        </is>
      </c>
      <c r="J29" s="21" t="n">
        <v>1</v>
      </c>
      <c r="K29" s="21" t="n">
        <v>12</v>
      </c>
      <c r="L29" s="21" t="n">
        <v>50</v>
      </c>
      <c r="M29" s="21" t="n">
        <v>0</v>
      </c>
      <c r="N29" s="21" t="n">
        <v>45</v>
      </c>
      <c r="O29" s="21" t="n">
        <v>60</v>
      </c>
      <c r="P29" s="21" t="n">
        <v>40</v>
      </c>
      <c r="Q29" s="21" t="n">
        <v>45</v>
      </c>
      <c r="R29" s="21" t="n">
        <v>1500</v>
      </c>
      <c r="S29" s="21" t="n">
        <v>100</v>
      </c>
      <c r="T29" s="21" t="n">
        <v>80</v>
      </c>
      <c r="U29" s="21" t="n">
        <v>50</v>
      </c>
      <c r="V29" s="21" t="n"/>
      <c r="W29" s="21" t="inlineStr">
        <is>
          <t>Write to address 42 (no such machine)</t>
        </is>
      </c>
      <c r="X29" s="22" t="inlineStr">
        <is>
          <t>FAIL</t>
        </is>
      </c>
      <c r="Y29" s="22" t="inlineStr">
        <is>
          <t>INVALID_REGISTER</t>
        </is>
      </c>
      <c r="Z29" s="22" t="inlineStr">
        <is>
          <t>FAIL</t>
        </is>
      </c>
      <c r="AA29" s="22" t="inlineStr">
        <is>
          <t>UNKNOWN_REGISTER:42</t>
        </is>
      </c>
      <c r="AB29" s="22" t="inlineStr">
        <is>
          <t>DROP</t>
        </is>
      </c>
      <c r="AC29" s="22" t="inlineStr">
        <is>
          <t>INVALID_REGISTER</t>
        </is>
      </c>
      <c r="AD29" s="22" t="inlineStr">
        <is>
          <t>Invalid Register Access</t>
        </is>
      </c>
      <c r="AE29" s="22" t="inlineStr">
        <is>
          <t>ATTACK</t>
        </is>
      </c>
      <c r="AF29" s="22">
        <f>IF(OR(AE29="",C29=""),"",IF(C29="ATTACK",IF(AE29="ATTACK","TP","FN"),IF(AE29="ATTACK","FP","TN")))</f>
        <v/>
      </c>
    </row>
    <row r="30" ht="15" customHeight="1" s="18">
      <c r="A30" s="21" t="inlineStr">
        <is>
          <t>A09</t>
        </is>
      </c>
      <c r="B30" s="21" t="inlineStr">
        <is>
          <t>Invalid function code</t>
        </is>
      </c>
      <c r="C30" s="21" t="inlineStr">
        <is>
          <t>ATTACK</t>
        </is>
      </c>
      <c r="D30" s="21" t="inlineStr">
        <is>
          <t>Invalid Function Code</t>
        </is>
      </c>
      <c r="E30" s="21" t="inlineStr">
        <is>
          <t>127.0.0.1</t>
        </is>
      </c>
      <c r="F30" s="21" t="n">
        <v>5</v>
      </c>
      <c r="G30" s="21" t="inlineStr">
        <is>
          <t>CONVEYOR_SPEED</t>
        </is>
      </c>
      <c r="H30" s="21" t="n">
        <v>2</v>
      </c>
      <c r="I30" s="21" t="inlineStr">
        <is>
          <t>valid</t>
        </is>
      </c>
      <c r="J30" s="21" t="n">
        <v>1</v>
      </c>
      <c r="K30" s="21" t="n">
        <v>12</v>
      </c>
      <c r="L30" s="21" t="n">
        <v>50</v>
      </c>
      <c r="M30" s="21" t="n">
        <v>0</v>
      </c>
      <c r="N30" s="21" t="n">
        <v>45</v>
      </c>
      <c r="O30" s="21" t="n">
        <v>60</v>
      </c>
      <c r="P30" s="21" t="n">
        <v>40</v>
      </c>
      <c r="Q30" s="21" t="n">
        <v>45</v>
      </c>
      <c r="R30" s="21" t="n">
        <v>1500</v>
      </c>
      <c r="S30" s="21" t="n">
        <v>100</v>
      </c>
      <c r="T30" s="21" t="n">
        <v>80</v>
      </c>
      <c r="U30" s="21" t="n">
        <v>50</v>
      </c>
      <c r="V30" s="21" t="n"/>
      <c r="W30" s="21" t="inlineStr">
        <is>
          <t>FC5 (write coil) against a holding register</t>
        </is>
      </c>
      <c r="X30" s="22" t="inlineStr">
        <is>
          <t>FAIL</t>
        </is>
      </c>
      <c r="Y30" s="22" t="inlineStr">
        <is>
          <t>INVALID_FUNCTION_CODE</t>
        </is>
      </c>
      <c r="Z30" s="22" t="inlineStr">
        <is>
          <t>PASS</t>
        </is>
      </c>
      <c r="AA30" s="22" t="inlineStr">
        <is>
          <t>OK</t>
        </is>
      </c>
      <c r="AB30" s="22" t="inlineStr">
        <is>
          <t>DROP</t>
        </is>
      </c>
      <c r="AC30" s="22" t="inlineStr">
        <is>
          <t>INVALID_FUNCTION_CODE</t>
        </is>
      </c>
      <c r="AD30" s="22" t="inlineStr">
        <is>
          <t>Invalid Function Code</t>
        </is>
      </c>
      <c r="AE30" s="22" t="inlineStr">
        <is>
          <t>ATTACK</t>
        </is>
      </c>
      <c r="AF30" s="22">
        <f>IF(OR(AE30="",C30=""),"",IF(C30="ATTACK",IF(AE30="ATTACK","TP","FN"),IF(AE30="ATTACK","FP","TN")))</f>
        <v/>
      </c>
    </row>
    <row r="31" ht="15" customHeight="1" s="18">
      <c r="A31" s="21" t="inlineStr">
        <is>
          <t>A10</t>
        </is>
      </c>
      <c r="B31" s="21" t="inlineStr">
        <is>
          <t>Command flood</t>
        </is>
      </c>
      <c r="C31" s="21" t="inlineStr">
        <is>
          <t>ATTACK</t>
        </is>
      </c>
      <c r="D31" s="21" t="inlineStr">
        <is>
          <t>Flood / Rate Limit</t>
        </is>
      </c>
      <c r="E31" s="21" t="inlineStr">
        <is>
          <t>127.0.0.1</t>
        </is>
      </c>
      <c r="F31" s="21" t="n">
        <v>16</v>
      </c>
      <c r="G31" s="21" t="inlineStr">
        <is>
          <t>CONVEYOR_SPEED</t>
        </is>
      </c>
      <c r="H31" s="21" t="n">
        <v>2</v>
      </c>
      <c r="I31" s="21" t="inlineStr">
        <is>
          <t>valid</t>
        </is>
      </c>
      <c r="J31" s="21" t="n">
        <v>8</v>
      </c>
      <c r="K31" s="21" t="n">
        <v>12</v>
      </c>
      <c r="L31" s="21" t="n">
        <v>50</v>
      </c>
      <c r="M31" s="21" t="n">
        <v>0</v>
      </c>
      <c r="N31" s="21" t="n">
        <v>45</v>
      </c>
      <c r="O31" s="21" t="n">
        <v>60</v>
      </c>
      <c r="P31" s="21" t="n">
        <v>40</v>
      </c>
      <c r="Q31" s="21" t="n">
        <v>45</v>
      </c>
      <c r="R31" s="21" t="n">
        <v>1500</v>
      </c>
      <c r="S31" s="21" t="n">
        <v>100</v>
      </c>
      <c r="T31" s="21" t="n">
        <v>80</v>
      </c>
      <c r="U31" s="21" t="n">
        <v>50</v>
      </c>
      <c r="V31" s="21" t="n"/>
      <c r="W31" s="21" t="inlineStr">
        <is>
          <t>8 signed commands in &lt; 1 s; last one evaluated</t>
        </is>
      </c>
      <c r="X31" s="22" t="inlineStr">
        <is>
          <t>FAIL</t>
        </is>
      </c>
      <c r="Y31" s="22" t="inlineStr">
        <is>
          <t>RATE_LIMIT_EXCEEDED</t>
        </is>
      </c>
      <c r="Z31" s="22" t="inlineStr">
        <is>
          <t>PASS</t>
        </is>
      </c>
      <c r="AA31" s="22" t="inlineStr">
        <is>
          <t>OK</t>
        </is>
      </c>
      <c r="AB31" s="22" t="inlineStr">
        <is>
          <t>DROP</t>
        </is>
      </c>
      <c r="AC31" s="22" t="inlineStr">
        <is>
          <t>RATE_LIMIT_EXCEEDED</t>
        </is>
      </c>
      <c r="AD31" s="22" t="inlineStr">
        <is>
          <t>Flood / Rate Limit</t>
        </is>
      </c>
      <c r="AE31" s="22" t="inlineStr">
        <is>
          <t>ATTACK</t>
        </is>
      </c>
      <c r="AF31" s="22">
        <f>IF(OR(AE31="",C31=""),"",IF(C31="ATTACK",IF(AE31="ATTACK","TP","FN"),IF(AE31="ATTACK","FP","TN")))</f>
        <v/>
      </c>
    </row>
    <row r="32" ht="15" customHeight="1" s="18">
      <c r="A32" s="21" t="inlineStr">
        <is>
          <t>A11</t>
        </is>
      </c>
      <c r="B32" s="21" t="inlineStr">
        <is>
          <t>Impossible tank pressure</t>
        </is>
      </c>
      <c r="C32" s="21" t="inlineStr">
        <is>
          <t>ATTACK</t>
        </is>
      </c>
      <c r="D32" s="21" t="inlineStr">
        <is>
          <t>Impossible Command (Out of Bounds)</t>
        </is>
      </c>
      <c r="E32" s="21" t="inlineStr">
        <is>
          <t>127.0.0.1</t>
        </is>
      </c>
      <c r="F32" s="21" t="n">
        <v>16</v>
      </c>
      <c r="G32" s="21" t="inlineStr">
        <is>
          <t>TANK_PRESSURE</t>
        </is>
      </c>
      <c r="H32" s="21" t="n">
        <v>999</v>
      </c>
      <c r="I32" s="21" t="inlineStr">
        <is>
          <t>valid</t>
        </is>
      </c>
      <c r="J32" s="21" t="n">
        <v>1</v>
      </c>
      <c r="K32" s="21" t="n">
        <v>12</v>
      </c>
      <c r="L32" s="21" t="n">
        <v>50</v>
      </c>
      <c r="M32" s="21" t="n">
        <v>0</v>
      </c>
      <c r="N32" s="21" t="n">
        <v>45</v>
      </c>
      <c r="O32" s="21" t="n">
        <v>60</v>
      </c>
      <c r="P32" s="21" t="n">
        <v>40</v>
      </c>
      <c r="Q32" s="21" t="n">
        <v>45</v>
      </c>
      <c r="R32" s="21" t="n">
        <v>1500</v>
      </c>
      <c r="S32" s="21" t="n">
        <v>100</v>
      </c>
      <c r="T32" s="21" t="n">
        <v>80</v>
      </c>
      <c r="U32" s="21" t="n">
        <v>50</v>
      </c>
      <c r="V32" s="21" t="n"/>
      <c r="W32" s="21" t="n"/>
      <c r="X32" s="22" t="inlineStr">
        <is>
          <t>PASS</t>
        </is>
      </c>
      <c r="Y32" s="22" t="inlineStr">
        <is>
          <t>OK</t>
        </is>
      </c>
      <c r="Z32" s="22" t="inlineStr">
        <is>
          <t>FAIL</t>
        </is>
      </c>
      <c r="AA32" s="22" t="inlineStr">
        <is>
          <t>OUT_OF_BOUNDS:TANK_PRESSURE=999.00 (allowed 0–100)</t>
        </is>
      </c>
      <c r="AB32" s="22" t="inlineStr">
        <is>
          <t>DROP</t>
        </is>
      </c>
      <c r="AC32" s="22" t="inlineStr">
        <is>
          <t>OUT_OF_BOUNDS:TANK_PRESSURE=999.00 (allowed 0–100)</t>
        </is>
      </c>
      <c r="AD32" s="22" t="inlineStr">
        <is>
          <t>Impossible Command (Out of Bounds)</t>
        </is>
      </c>
      <c r="AE32" s="22" t="inlineStr">
        <is>
          <t>ATTACK</t>
        </is>
      </c>
      <c r="AF32" s="22">
        <f>IF(OR(AE32="",C32=""),"",IF(C32="ATTACK",IF(AE32="ATTACK","TP","FN"),IF(AE32="ATTACK","FP","TN")))</f>
        <v/>
      </c>
    </row>
    <row r="33" ht="15" customHeight="1" s="18">
      <c r="A33" s="21" t="inlineStr">
        <is>
          <t>A12</t>
        </is>
      </c>
      <c r="B33" s="21" t="inlineStr">
        <is>
          <t>Impossible heater temperature</t>
        </is>
      </c>
      <c r="C33" s="21" t="inlineStr">
        <is>
          <t>ATTACK</t>
        </is>
      </c>
      <c r="D33" s="21" t="inlineStr">
        <is>
          <t>Impossible Command (Out of Bounds)</t>
        </is>
      </c>
      <c r="E33" s="21" t="inlineStr">
        <is>
          <t>127.0.0.1</t>
        </is>
      </c>
      <c r="F33" s="21" t="n">
        <v>16</v>
      </c>
      <c r="G33" s="21" t="inlineStr">
        <is>
          <t>HEATER_TEMP</t>
        </is>
      </c>
      <c r="H33" s="21" t="n">
        <v>180</v>
      </c>
      <c r="I33" s="21" t="inlineStr">
        <is>
          <t>valid</t>
        </is>
      </c>
      <c r="J33" s="21" t="n">
        <v>1</v>
      </c>
      <c r="K33" s="21" t="n">
        <v>12</v>
      </c>
      <c r="L33" s="21" t="n">
        <v>50</v>
      </c>
      <c r="M33" s="21" t="n">
        <v>0</v>
      </c>
      <c r="N33" s="21" t="n">
        <v>45</v>
      </c>
      <c r="O33" s="21" t="n">
        <v>60</v>
      </c>
      <c r="P33" s="21" t="n">
        <v>40</v>
      </c>
      <c r="Q33" s="21" t="n">
        <v>45</v>
      </c>
      <c r="R33" s="21" t="n">
        <v>1500</v>
      </c>
      <c r="S33" s="21" t="n">
        <v>100</v>
      </c>
      <c r="T33" s="21" t="n">
        <v>80</v>
      </c>
      <c r="U33" s="21" t="n">
        <v>50</v>
      </c>
      <c r="V33" s="21" t="n"/>
      <c r="W33" s="21" t="n"/>
      <c r="X33" s="22" t="inlineStr">
        <is>
          <t>PASS</t>
        </is>
      </c>
      <c r="Y33" s="22" t="inlineStr">
        <is>
          <t>OK</t>
        </is>
      </c>
      <c r="Z33" s="22" t="inlineStr">
        <is>
          <t>FAIL</t>
        </is>
      </c>
      <c r="AA33" s="22" t="inlineStr">
        <is>
          <t>OUT_OF_BOUNDS:HEATER_TEMP=180.00 (allowed 0–150)</t>
        </is>
      </c>
      <c r="AB33" s="22" t="inlineStr">
        <is>
          <t>DROP</t>
        </is>
      </c>
      <c r="AC33" s="22" t="inlineStr">
        <is>
          <t>OUT_OF_BOUNDS:HEATER_TEMP=180.00 (allowed 0–150)</t>
        </is>
      </c>
      <c r="AD33" s="22" t="inlineStr">
        <is>
          <t>Impossible Command (Out of Bounds)</t>
        </is>
      </c>
      <c r="AE33" s="22" t="inlineStr">
        <is>
          <t>ATTACK</t>
        </is>
      </c>
      <c r="AF33" s="22">
        <f>IF(OR(AE33="",C33=""),"",IF(C33="ATTACK",IF(AE33="ATTACK","TP","FN"),IF(AE33="ATTACK","FP","TN")))</f>
        <v/>
      </c>
    </row>
    <row r="34" ht="15" customHeight="1" s="18">
      <c r="A34" s="21" t="inlineStr">
        <is>
          <t>A13</t>
        </is>
      </c>
      <c r="B34" s="21" t="inlineStr">
        <is>
          <t>Physically impossible ramp</t>
        </is>
      </c>
      <c r="C34" s="21" t="inlineStr">
        <is>
          <t>ATTACK</t>
        </is>
      </c>
      <c r="D34" s="21" t="inlineStr">
        <is>
          <t>Rate-of-Change Violation</t>
        </is>
      </c>
      <c r="E34" s="21" t="inlineStr">
        <is>
          <t>127.0.0.1</t>
        </is>
      </c>
      <c r="F34" s="21" t="n">
        <v>16</v>
      </c>
      <c r="G34" s="21" t="inlineStr">
        <is>
          <t>CONVEYOR_SPEED</t>
        </is>
      </c>
      <c r="H34" s="21" t="n">
        <v>100</v>
      </c>
      <c r="I34" s="21" t="inlineStr">
        <is>
          <t>valid</t>
        </is>
      </c>
      <c r="J34" s="21" t="n">
        <v>1</v>
      </c>
      <c r="K34" s="21" t="n">
        <v>0.2</v>
      </c>
      <c r="L34" s="21" t="n">
        <v>50</v>
      </c>
      <c r="M34" s="21" t="n">
        <v>0</v>
      </c>
      <c r="N34" s="21" t="n">
        <v>45</v>
      </c>
      <c r="O34" s="21" t="n">
        <v>60</v>
      </c>
      <c r="P34" s="21" t="n">
        <v>40</v>
      </c>
      <c r="Q34" s="21" t="n">
        <v>45</v>
      </c>
      <c r="R34" s="21" t="n">
        <v>1500</v>
      </c>
      <c r="S34" s="21" t="n">
        <v>100</v>
      </c>
      <c r="T34" s="21" t="n">
        <v>80</v>
      </c>
      <c r="U34" s="21" t="n">
        <v>50</v>
      </c>
      <c r="V34" s="21" t="n"/>
      <c r="W34" s="21" t="inlineStr">
        <is>
          <t>0 -&gt; 100 RPM in 0.2 s</t>
        </is>
      </c>
      <c r="X34" s="22" t="inlineStr">
        <is>
          <t>PASS</t>
        </is>
      </c>
      <c r="Y34" s="22" t="inlineStr">
        <is>
          <t>OK</t>
        </is>
      </c>
      <c r="Z34" s="22" t="inlineStr">
        <is>
          <t>FAIL</t>
        </is>
      </c>
      <c r="AA34" s="22" t="inlineStr">
        <is>
          <t>RATE_OF_CHANGE_EXCEEDED:CONVEYOR_SPEED Δ100.00 &gt; max 2.20 in 0.200s</t>
        </is>
      </c>
      <c r="AB34" s="22" t="inlineStr">
        <is>
          <t>DROP</t>
        </is>
      </c>
      <c r="AC34" s="22" t="inlineStr">
        <is>
          <t>RATE_OF_CHANGE_EXCEEDED:CONVEYOR_SPEED Δ100.00 &gt; max 2.20 in 0.200s</t>
        </is>
      </c>
      <c r="AD34" s="22" t="inlineStr">
        <is>
          <t>Rate-of-Change Violation</t>
        </is>
      </c>
      <c r="AE34" s="22" t="inlineStr">
        <is>
          <t>ATTACK</t>
        </is>
      </c>
      <c r="AF34" s="22">
        <f>IF(OR(AE34="",C34=""),"",IF(C34="ATTACK",IF(AE34="ATTACK","TP","FN"),IF(AE34="ATTACK","FP","TN")))</f>
        <v/>
      </c>
    </row>
    <row r="35" ht="15" customHeight="1" s="18">
      <c r="A35" s="21" t="inlineStr">
        <is>
          <t>A14</t>
        </is>
      </c>
      <c r="B35" s="21" t="inlineStr">
        <is>
          <t>Thermal runaway via heater</t>
        </is>
      </c>
      <c r="C35" s="21" t="inlineStr">
        <is>
          <t>ATTACK</t>
        </is>
      </c>
      <c r="D35" s="21" t="inlineStr">
        <is>
          <t>Cross-Register Correlation</t>
        </is>
      </c>
      <c r="E35" s="21" t="inlineStr">
        <is>
          <t>127.0.0.1</t>
        </is>
      </c>
      <c r="F35" s="21" t="n">
        <v>16</v>
      </c>
      <c r="G35" s="21" t="inlineStr">
        <is>
          <t>HEATER_TEMP</t>
        </is>
      </c>
      <c r="H35" s="21" t="n">
        <v>112</v>
      </c>
      <c r="I35" s="21" t="inlineStr">
        <is>
          <t>valid</t>
        </is>
      </c>
      <c r="J35" s="21" t="n">
        <v>1</v>
      </c>
      <c r="K35" s="21" t="n">
        <v>10</v>
      </c>
      <c r="L35" s="21" t="n">
        <v>50</v>
      </c>
      <c r="M35" s="21" t="n">
        <v>0</v>
      </c>
      <c r="N35" s="21" t="n">
        <v>20</v>
      </c>
      <c r="O35" s="21" t="n">
        <v>102</v>
      </c>
      <c r="P35" s="21" t="n">
        <v>40</v>
      </c>
      <c r="Q35" s="21" t="n">
        <v>45</v>
      </c>
      <c r="R35" s="21" t="n">
        <v>1500</v>
      </c>
      <c r="S35" s="21" t="n">
        <v>100</v>
      </c>
      <c r="T35" s="21" t="n">
        <v>80</v>
      </c>
      <c r="U35" s="21" t="n">
        <v>50</v>
      </c>
      <c r="V35" s="21" t="n"/>
      <c r="W35" s="21" t="inlineStr">
        <is>
          <t>Each value safe alone; heater 112 + cooling 20 is unsafe</t>
        </is>
      </c>
      <c r="X35" s="22" t="inlineStr">
        <is>
          <t>PASS</t>
        </is>
      </c>
      <c r="Y35" s="22" t="inlineStr">
        <is>
          <t>OK</t>
        </is>
      </c>
      <c r="Z35" s="22" t="inlineStr">
        <is>
          <t>FAIL</t>
        </is>
      </c>
      <c r="AA35" s="22" t="inlineStr">
        <is>
          <t>CROSS_REGISTER_VIOLATION:THERMAL_RUNAWAY:HEATER_TEMP=112.0&gt;=110 &amp; COOLING_VALVE=20.0&lt;=25 (heater setpoint high while cooling valve nearly closed - heat cannot be removed)</t>
        </is>
      </c>
      <c r="AB35" s="22" t="inlineStr">
        <is>
          <t>DROP</t>
        </is>
      </c>
      <c r="AC35" s="22" t="inlineStr">
        <is>
          <t>CROSS_REGISTER_VIOLATION:THERMAL_RUNAWAY:HEATER_TEMP=112.0&gt;=110 &amp; COOLING_VALVE=20.0&lt;=25 (heater setpoint high while cooling valve nearly closed - heat cannot be removed)</t>
        </is>
      </c>
      <c r="AD35" s="22" t="inlineStr">
        <is>
          <t>Cross-Register Correlation</t>
        </is>
      </c>
      <c r="AE35" s="22" t="inlineStr">
        <is>
          <t>ATTACK</t>
        </is>
      </c>
      <c r="AF35" s="22">
        <f>IF(OR(AE35="",C35=""),"",IF(C35="ATTACK",IF(AE35="ATTACK","TP","FN"),IF(AE35="ATTACK","FP","TN")))</f>
        <v/>
      </c>
    </row>
    <row r="36" ht="15" customHeight="1" s="18">
      <c r="A36" s="21" t="inlineStr">
        <is>
          <t>A15</t>
        </is>
      </c>
      <c r="B36" s="21" t="inlineStr">
        <is>
          <t>Thermal runaway via cooling valve</t>
        </is>
      </c>
      <c r="C36" s="21" t="inlineStr">
        <is>
          <t>ATTACK</t>
        </is>
      </c>
      <c r="D36" s="21" t="inlineStr">
        <is>
          <t>Cross-Register Correlation</t>
        </is>
      </c>
      <c r="E36" s="21" t="inlineStr">
        <is>
          <t>127.0.0.1</t>
        </is>
      </c>
      <c r="F36" s="21" t="n">
        <v>16</v>
      </c>
      <c r="G36" s="21" t="inlineStr">
        <is>
          <t>COOLING_VALVE</t>
        </is>
      </c>
      <c r="H36" s="21" t="n">
        <v>24</v>
      </c>
      <c r="I36" s="21" t="inlineStr">
        <is>
          <t>valid</t>
        </is>
      </c>
      <c r="J36" s="21" t="n">
        <v>1</v>
      </c>
      <c r="K36" s="21" t="n">
        <v>10</v>
      </c>
      <c r="L36" s="21" t="n">
        <v>50</v>
      </c>
      <c r="M36" s="21" t="n">
        <v>0</v>
      </c>
      <c r="N36" s="21" t="n">
        <v>30</v>
      </c>
      <c r="O36" s="21" t="n">
        <v>115</v>
      </c>
      <c r="P36" s="21" t="n">
        <v>40</v>
      </c>
      <c r="Q36" s="21" t="n">
        <v>45</v>
      </c>
      <c r="R36" s="21" t="n">
        <v>1500</v>
      </c>
      <c r="S36" s="21" t="n">
        <v>100</v>
      </c>
      <c r="T36" s="21" t="n">
        <v>80</v>
      </c>
      <c r="U36" s="21" t="n">
        <v>50</v>
      </c>
      <c r="V36" s="21" t="n"/>
      <c r="W36" s="21" t="n"/>
      <c r="X36" s="22" t="inlineStr">
        <is>
          <t>PASS</t>
        </is>
      </c>
      <c r="Y36" s="22" t="inlineStr">
        <is>
          <t>OK</t>
        </is>
      </c>
      <c r="Z36" s="22" t="inlineStr">
        <is>
          <t>FAIL</t>
        </is>
      </c>
      <c r="AA36" s="22" t="inlineStr">
        <is>
          <t>CROSS_REGISTER_VIOLATION:THERMAL_RUNAWAY:HEATER_TEMP=115.0&gt;=110 &amp; COOLING_VALVE=24.0&lt;=25 (heater setpoint high while cooling valve nearly closed - heat cannot be removed)</t>
        </is>
      </c>
      <c r="AB36" s="22" t="inlineStr">
        <is>
          <t>DROP</t>
        </is>
      </c>
      <c r="AC36" s="22" t="inlineStr">
        <is>
          <t>CROSS_REGISTER_VIOLATION:THERMAL_RUNAWAY:HEATER_TEMP=115.0&gt;=110 &amp; COOLING_VALVE=24.0&lt;=25 (heater setpoint high while cooling valve nearly closed - heat cannot be removed)</t>
        </is>
      </c>
      <c r="AD36" s="22" t="inlineStr">
        <is>
          <t>Cross-Register Correlation</t>
        </is>
      </c>
      <c r="AE36" s="22" t="inlineStr">
        <is>
          <t>ATTACK</t>
        </is>
      </c>
      <c r="AF36" s="22">
        <f>IF(OR(AE36="",C36=""),"",IF(C36="ATTACK",IF(AE36="ATTACK","TP","FN"),IF(AE36="ATTACK","FP","TN")))</f>
        <v/>
      </c>
    </row>
    <row r="37" ht="15" customHeight="1" s="18">
      <c r="A37" s="21" t="inlineStr">
        <is>
          <t>A16</t>
        </is>
      </c>
      <c r="B37" s="21" t="inlineStr">
        <is>
          <t>Overpressure via feed pump</t>
        </is>
      </c>
      <c r="C37" s="21" t="inlineStr">
        <is>
          <t>ATTACK</t>
        </is>
      </c>
      <c r="D37" s="21" t="inlineStr">
        <is>
          <t>Cross-Register Correlation</t>
        </is>
      </c>
      <c r="E37" s="21" t="inlineStr">
        <is>
          <t>127.0.0.1</t>
        </is>
      </c>
      <c r="F37" s="21" t="n">
        <v>16</v>
      </c>
      <c r="G37" s="21" t="inlineStr">
        <is>
          <t>FEED_PUMP</t>
        </is>
      </c>
      <c r="H37" s="21" t="n">
        <v>75</v>
      </c>
      <c r="I37" s="21" t="inlineStr">
        <is>
          <t>valid</t>
        </is>
      </c>
      <c r="J37" s="21" t="n">
        <v>1</v>
      </c>
      <c r="K37" s="21" t="n">
        <v>10</v>
      </c>
      <c r="L37" s="21" t="n">
        <v>50</v>
      </c>
      <c r="M37" s="21" t="n">
        <v>0</v>
      </c>
      <c r="N37" s="21" t="n">
        <v>45</v>
      </c>
      <c r="O37" s="21" t="n">
        <v>60</v>
      </c>
      <c r="P37" s="21" t="n">
        <v>65</v>
      </c>
      <c r="Q37" s="21" t="n">
        <v>10</v>
      </c>
      <c r="R37" s="21" t="n">
        <v>1500</v>
      </c>
      <c r="S37" s="21" t="n">
        <v>100</v>
      </c>
      <c r="T37" s="21" t="n">
        <v>80</v>
      </c>
      <c r="U37" s="21" t="n">
        <v>50</v>
      </c>
      <c r="V37" s="21" t="n"/>
      <c r="W37" s="21" t="n"/>
      <c r="X37" s="22" t="inlineStr">
        <is>
          <t>PASS</t>
        </is>
      </c>
      <c r="Y37" s="22" t="inlineStr">
        <is>
          <t>OK</t>
        </is>
      </c>
      <c r="Z37" s="22" t="inlineStr">
        <is>
          <t>FAIL</t>
        </is>
      </c>
      <c r="AA37" s="22" t="inlineStr">
        <is>
          <t>CROSS_REGISTER_VIOLATION:OVERPRESSURE:FEED_PUMP=75.0&gt;=70 &amp; RELIEF_VALVE=10.0&lt;=15 (feed pump driving flow into tank while relief valve nearly closed - tank cannot vent)</t>
        </is>
      </c>
      <c r="AB37" s="22" t="inlineStr">
        <is>
          <t>DROP</t>
        </is>
      </c>
      <c r="AC37" s="22" t="inlineStr">
        <is>
          <t>CROSS_REGISTER_VIOLATION:OVERPRESSURE:FEED_PUMP=75.0&gt;=70 &amp; RELIEF_VALVE=10.0&lt;=15 (feed pump driving flow into tank while relief valve nearly closed - tank cannot vent)</t>
        </is>
      </c>
      <c r="AD37" s="22" t="inlineStr">
        <is>
          <t>Cross-Register Correlation</t>
        </is>
      </c>
      <c r="AE37" s="22" t="inlineStr">
        <is>
          <t>ATTACK</t>
        </is>
      </c>
      <c r="AF37" s="22">
        <f>IF(OR(AE37="",C37=""),"",IF(C37="ATTACK",IF(AE37="ATTACK","TP","FN"),IF(AE37="ATTACK","FP","TN")))</f>
        <v/>
      </c>
    </row>
    <row r="38" ht="15" customHeight="1" s="18">
      <c r="A38" s="21" t="inlineStr">
        <is>
          <t>A17</t>
        </is>
      </c>
      <c r="B38" s="21" t="inlineStr">
        <is>
          <t>Overpressure via pending setpoint</t>
        </is>
      </c>
      <c r="C38" s="21" t="inlineStr">
        <is>
          <t>ATTACK</t>
        </is>
      </c>
      <c r="D38" s="21" t="inlineStr">
        <is>
          <t>Cross-Register Correlation</t>
        </is>
      </c>
      <c r="E38" s="21" t="inlineStr">
        <is>
          <t>127.0.0.1</t>
        </is>
      </c>
      <c r="F38" s="21" t="n">
        <v>16</v>
      </c>
      <c r="G38" s="21" t="inlineStr">
        <is>
          <t>FEED_PUMP</t>
        </is>
      </c>
      <c r="H38" s="21" t="n">
        <v>75</v>
      </c>
      <c r="I38" s="21" t="inlineStr">
        <is>
          <t>valid</t>
        </is>
      </c>
      <c r="J38" s="21" t="n">
        <v>1</v>
      </c>
      <c r="K38" s="21" t="n">
        <v>10</v>
      </c>
      <c r="L38" s="21" t="n">
        <v>50</v>
      </c>
      <c r="M38" s="21" t="n">
        <v>0</v>
      </c>
      <c r="N38" s="21" t="n">
        <v>45</v>
      </c>
      <c r="O38" s="21" t="n">
        <v>60</v>
      </c>
      <c r="P38" s="21" t="n">
        <v>65</v>
      </c>
      <c r="Q38" s="21" t="n">
        <v>40</v>
      </c>
      <c r="R38" s="21" t="n">
        <v>1500</v>
      </c>
      <c r="S38" s="21" t="n">
        <v>100</v>
      </c>
      <c r="T38" s="21" t="n">
        <v>80</v>
      </c>
      <c r="U38" s="21" t="n">
        <v>50</v>
      </c>
      <c r="V38" s="21" t="inlineStr">
        <is>
          <t>{"RELIEF_VALVE": 10.0}</t>
        </is>
      </c>
      <c r="W38" s="21" t="inlineStr">
        <is>
          <t>Relief telemetry still 40 but an approved setpoint of 10 is ramping</t>
        </is>
      </c>
      <c r="X38" s="22" t="inlineStr">
        <is>
          <t>PASS</t>
        </is>
      </c>
      <c r="Y38" s="22" t="inlineStr">
        <is>
          <t>OK</t>
        </is>
      </c>
      <c r="Z38" s="22" t="inlineStr">
        <is>
          <t>FAIL</t>
        </is>
      </c>
      <c r="AA38" s="22" t="inlineStr">
        <is>
          <t>CROSS_REGISTER_VIOLATION:OVERPRESSURE:FEED_PUMP=75.0&gt;=70 &amp; RELIEF_VALVE=10.0&lt;=15 (feed pump driving flow into tank while relief valve nearly closed - tank cannot vent)</t>
        </is>
      </c>
      <c r="AB38" s="22" t="inlineStr">
        <is>
          <t>DROP</t>
        </is>
      </c>
      <c r="AC38" s="22" t="inlineStr">
        <is>
          <t>CROSS_REGISTER_VIOLATION:OVERPRESSURE:FEED_PUMP=75.0&gt;=70 &amp; RELIEF_VALVE=10.0&lt;=15 (feed pump driving flow into tank while relief valve nearly closed - tank cannot vent)</t>
        </is>
      </c>
      <c r="AD38" s="22" t="inlineStr">
        <is>
          <t>Cross-Register Correlation</t>
        </is>
      </c>
      <c r="AE38" s="22" t="inlineStr">
        <is>
          <t>ATTACK</t>
        </is>
      </c>
      <c r="AF38" s="22">
        <f>IF(OR(AE38="",C38=""),"",IF(C38="ATTACK",IF(AE38="ATTACK","TP","FN"),IF(AE38="ATTACK","FP","TN")))</f>
        <v/>
      </c>
    </row>
    <row r="39" ht="15" customHeight="1" s="18">
      <c r="A39" s="21" t="inlineStr">
        <is>
          <t>A18</t>
        </is>
      </c>
      <c r="B39" s="21" t="inlineStr">
        <is>
          <t>Hot pressurized vessel</t>
        </is>
      </c>
      <c r="C39" s="21" t="inlineStr">
        <is>
          <t>ATTACK</t>
        </is>
      </c>
      <c r="D39" s="21" t="inlineStr">
        <is>
          <t>Cross-Register Correlation</t>
        </is>
      </c>
      <c r="E39" s="21" t="inlineStr">
        <is>
          <t>127.0.0.1</t>
        </is>
      </c>
      <c r="F39" s="21" t="n">
        <v>16</v>
      </c>
      <c r="G39" s="21" t="inlineStr">
        <is>
          <t>TANK_PRESSURE</t>
        </is>
      </c>
      <c r="H39" s="21" t="n">
        <v>86</v>
      </c>
      <c r="I39" s="21" t="inlineStr">
        <is>
          <t>valid</t>
        </is>
      </c>
      <c r="J39" s="21" t="n">
        <v>1</v>
      </c>
      <c r="K39" s="21" t="n">
        <v>5</v>
      </c>
      <c r="L39" s="21" t="n">
        <v>80</v>
      </c>
      <c r="M39" s="21" t="n">
        <v>0</v>
      </c>
      <c r="N39" s="21" t="n">
        <v>45</v>
      </c>
      <c r="O39" s="21" t="n">
        <v>130</v>
      </c>
      <c r="P39" s="21" t="n">
        <v>40</v>
      </c>
      <c r="Q39" s="21" t="n">
        <v>45</v>
      </c>
      <c r="R39" s="21" t="n">
        <v>1500</v>
      </c>
      <c r="S39" s="21" t="n">
        <v>100</v>
      </c>
      <c r="T39" s="21" t="n">
        <v>80</v>
      </c>
      <c r="U39" s="21" t="n">
        <v>50</v>
      </c>
      <c r="V39" s="21" t="n"/>
      <c r="W39" s="21" t="n"/>
      <c r="X39" s="22" t="inlineStr">
        <is>
          <t>PASS</t>
        </is>
      </c>
      <c r="Y39" s="22" t="inlineStr">
        <is>
          <t>OK</t>
        </is>
      </c>
      <c r="Z39" s="22" t="inlineStr">
        <is>
          <t>FAIL</t>
        </is>
      </c>
      <c r="AA39" s="22" t="inlineStr">
        <is>
          <t>CROSS_REGISTER_VIOLATION:HOT_PRESSURIZED_VESSEL:TANK_PRESSURE=86.0&gt;=85 &amp; HEATER_TEMP=130.0&gt;=125 (tank pressure and heater temperature both near limits at the same time)</t>
        </is>
      </c>
      <c r="AB39" s="22" t="inlineStr">
        <is>
          <t>DROP</t>
        </is>
      </c>
      <c r="AC39" s="22" t="inlineStr">
        <is>
          <t>CROSS_REGISTER_VIOLATION:HOT_PRESSURIZED_VESSEL:TANK_PRESSURE=86.0&gt;=85 &amp; HEATER_TEMP=130.0&gt;=125 (tank pressure and heater temperature both near limits at the same time)</t>
        </is>
      </c>
      <c r="AD39" s="22" t="inlineStr">
        <is>
          <t>Cross-Register Correlation</t>
        </is>
      </c>
      <c r="AE39" s="22" t="inlineStr">
        <is>
          <t>ATTACK</t>
        </is>
      </c>
      <c r="AF39" s="22">
        <f>IF(OR(AE39="",C39=""),"",IF(C39="ATTACK",IF(AE39="ATTACK","TP","FN"),IF(AE39="ATTACK","FP","TN")))</f>
        <v/>
      </c>
    </row>
    <row r="40" ht="15" customHeight="1" s="18">
      <c r="A40" s="21" t="inlineStr">
        <is>
          <t>A19</t>
        </is>
      </c>
      <c r="B40" s="21" t="inlineStr">
        <is>
          <t>Valve slam at low pressure</t>
        </is>
      </c>
      <c r="C40" s="21" t="inlineStr">
        <is>
          <t>ATTACK</t>
        </is>
      </c>
      <c r="D40" s="21" t="inlineStr">
        <is>
          <t>Cross-Register Correlation</t>
        </is>
      </c>
      <c r="E40" s="21" t="inlineStr">
        <is>
          <t>127.0.0.1</t>
        </is>
      </c>
      <c r="F40" s="21" t="n">
        <v>16</v>
      </c>
      <c r="G40" s="21" t="inlineStr">
        <is>
          <t>COOLING_VALVE</t>
        </is>
      </c>
      <c r="H40" s="21" t="n">
        <v>30</v>
      </c>
      <c r="I40" s="21" t="inlineStr">
        <is>
          <t>valid</t>
        </is>
      </c>
      <c r="J40" s="21" t="n">
        <v>1</v>
      </c>
      <c r="K40" s="21" t="n">
        <v>10</v>
      </c>
      <c r="L40" s="21" t="n">
        <v>8</v>
      </c>
      <c r="M40" s="21" t="n">
        <v>0</v>
      </c>
      <c r="N40" s="21" t="n">
        <v>60</v>
      </c>
      <c r="O40" s="21" t="n">
        <v>60</v>
      </c>
      <c r="P40" s="21" t="n">
        <v>40</v>
      </c>
      <c r="Q40" s="21" t="n">
        <v>45</v>
      </c>
      <c r="R40" s="21" t="n">
        <v>1500</v>
      </c>
      <c r="S40" s="21" t="n">
        <v>100</v>
      </c>
      <c r="T40" s="21" t="n">
        <v>80</v>
      </c>
      <c r="U40" s="21" t="n">
        <v>50</v>
      </c>
      <c r="V40" s="21" t="n"/>
      <c r="W40" s="21" t="n"/>
      <c r="X40" s="22" t="inlineStr">
        <is>
          <t>PASS</t>
        </is>
      </c>
      <c r="Y40" s="22" t="inlineStr">
        <is>
          <t>OK</t>
        </is>
      </c>
      <c r="Z40" s="22" t="inlineStr">
        <is>
          <t>FAIL</t>
        </is>
      </c>
      <c r="AA40" s="22" t="inlineStr">
        <is>
          <t>CROSS_REGISTER_VIOLATION:VALVE_CLOSING_LOW_PRESSURE:valve closing sharply with tank pressure already low</t>
        </is>
      </c>
      <c r="AB40" s="22" t="inlineStr">
        <is>
          <t>DROP</t>
        </is>
      </c>
      <c r="AC40" s="22" t="inlineStr">
        <is>
          <t>CROSS_REGISTER_VIOLATION:VALVE_CLOSING_LOW_PRESSURE:valve closing sharply with tank pressure already low</t>
        </is>
      </c>
      <c r="AD40" s="22" t="inlineStr">
        <is>
          <t>Cross-Register Correlation</t>
        </is>
      </c>
      <c r="AE40" s="22" t="inlineStr">
        <is>
          <t>ATTACK</t>
        </is>
      </c>
      <c r="AF40" s="22">
        <f>IF(OR(AE40="",C40=""),"",IF(C40="ATTACK",IF(AE40="ATTACK","TP","FN"),IF(AE40="ATTACK","FP","TN")))</f>
        <v/>
      </c>
    </row>
    <row r="41" ht="15" customHeight="1" s="18">
      <c r="A41" s="21" t="inlineStr">
        <is>
          <t>A20</t>
        </is>
      </c>
      <c r="B41" s="21" t="inlineStr">
        <is>
          <t>Conveyor max at pressure limit</t>
        </is>
      </c>
      <c r="C41" s="21" t="inlineStr">
        <is>
          <t>ATTACK</t>
        </is>
      </c>
      <c r="D41" s="21" t="inlineStr">
        <is>
          <t>Cross-Register Correlation</t>
        </is>
      </c>
      <c r="E41" s="21" t="inlineStr">
        <is>
          <t>127.0.0.1</t>
        </is>
      </c>
      <c r="F41" s="21" t="n">
        <v>16</v>
      </c>
      <c r="G41" s="21" t="inlineStr">
        <is>
          <t>CONVEYOR_SPEED</t>
        </is>
      </c>
      <c r="H41" s="21" t="n">
        <v>110</v>
      </c>
      <c r="I41" s="21" t="inlineStr">
        <is>
          <t>valid</t>
        </is>
      </c>
      <c r="J41" s="21" t="n">
        <v>1</v>
      </c>
      <c r="K41" s="21" t="n">
        <v>5</v>
      </c>
      <c r="L41" s="21" t="n">
        <v>95</v>
      </c>
      <c r="M41" s="21" t="n">
        <v>100</v>
      </c>
      <c r="N41" s="21" t="n">
        <v>45</v>
      </c>
      <c r="O41" s="21" t="n">
        <v>60</v>
      </c>
      <c r="P41" s="21" t="n">
        <v>40</v>
      </c>
      <c r="Q41" s="21" t="n">
        <v>45</v>
      </c>
      <c r="R41" s="21" t="n">
        <v>1500</v>
      </c>
      <c r="S41" s="21" t="n">
        <v>100</v>
      </c>
      <c r="T41" s="21" t="n">
        <v>80</v>
      </c>
      <c r="U41" s="21" t="n">
        <v>50</v>
      </c>
      <c r="V41" s="21" t="n"/>
      <c r="W41" s="21" t="n"/>
      <c r="X41" s="22" t="inlineStr">
        <is>
          <t>PASS</t>
        </is>
      </c>
      <c r="Y41" s="22" t="inlineStr">
        <is>
          <t>OK</t>
        </is>
      </c>
      <c r="Z41" s="22" t="inlineStr">
        <is>
          <t>FAIL</t>
        </is>
      </c>
      <c r="AA41" s="22" t="inlineStr">
        <is>
          <t>CROSS_REGISTER_VIOLATION:CONVEYOR_PRESSURE_OVERLOAD:conveyor near max speed while tank pressure near limit</t>
        </is>
      </c>
      <c r="AB41" s="22" t="inlineStr">
        <is>
          <t>DROP</t>
        </is>
      </c>
      <c r="AC41" s="22" t="inlineStr">
        <is>
          <t>CROSS_REGISTER_VIOLATION:CONVEYOR_PRESSURE_OVERLOAD:conveyor near max speed while tank pressure near limit</t>
        </is>
      </c>
      <c r="AD41" s="22" t="inlineStr">
        <is>
          <t>Cross-Register Correlation</t>
        </is>
      </c>
      <c r="AE41" s="22" t="inlineStr">
        <is>
          <t>ATTACK</t>
        </is>
      </c>
      <c r="AF41" s="22">
        <f>IF(OR(AE41="",C41=""),"",IF(C41="ATTACK",IF(AE41="ATTACK","TP","FN"),IF(AE41="ATTACK","FP","TN")))</f>
        <v/>
      </c>
    </row>
    <row r="42" ht="15" customHeight="1" s="18">
      <c r="A42" s="21" t="inlineStr">
        <is>
          <t>A23</t>
        </is>
      </c>
      <c r="B42" s="21" t="inlineStr">
        <is>
          <t>Coolant starvation via coolant pump</t>
        </is>
      </c>
      <c r="C42" s="21" t="inlineStr">
        <is>
          <t>ATTACK</t>
        </is>
      </c>
      <c r="D42" s="21" t="inlineStr">
        <is>
          <t>Cross-Register Correlation</t>
        </is>
      </c>
      <c r="E42" s="21" t="inlineStr">
        <is>
          <t>127.0.0.1</t>
        </is>
      </c>
      <c r="F42" s="21" t="n">
        <v>16</v>
      </c>
      <c r="G42" s="21" t="inlineStr">
        <is>
          <t>COOLANT_FLOW</t>
        </is>
      </c>
      <c r="H42" s="21" t="n">
        <v>15</v>
      </c>
      <c r="I42" s="21" t="inlineStr">
        <is>
          <t>valid</t>
        </is>
      </c>
      <c r="J42" s="21" t="n">
        <v>1</v>
      </c>
      <c r="K42" s="21" t="n">
        <v>10</v>
      </c>
      <c r="L42" s="21" t="n">
        <v>50</v>
      </c>
      <c r="M42" s="21" t="n">
        <v>0</v>
      </c>
      <c r="N42" s="21" t="n">
        <v>45</v>
      </c>
      <c r="O42" s="21" t="n">
        <v>105</v>
      </c>
      <c r="P42" s="21" t="n">
        <v>40</v>
      </c>
      <c r="Q42" s="21" t="n">
        <v>45</v>
      </c>
      <c r="R42" s="21" t="n">
        <v>1500</v>
      </c>
      <c r="S42" s="21" t="n">
        <v>100</v>
      </c>
      <c r="T42" s="21" t="n">
        <v>30</v>
      </c>
      <c r="U42" s="21" t="n">
        <v>50</v>
      </c>
      <c r="V42" s="21" t="n"/>
      <c r="W42" s="21" t="inlineStr">
        <is>
          <t>Coolant pump nearly stopped while the reactor heater runs hot</t>
        </is>
      </c>
      <c r="X42" s="22" t="inlineStr">
        <is>
          <t>PASS</t>
        </is>
      </c>
      <c r="Y42" s="22" t="inlineStr">
        <is>
          <t>OK</t>
        </is>
      </c>
      <c r="Z42" s="22" t="inlineStr">
        <is>
          <t>FAIL</t>
        </is>
      </c>
      <c r="AA42" s="22" t="inlineStr">
        <is>
          <t>CROSS_REGISTER_VIOLATION:COOLANT_STARVATION:HEATER_TEMP=105.0&gt;=100 &amp; COOLANT_FLOW=15.0&lt;=20 (heater setpoint high while coolant circulation nearly stopped)</t>
        </is>
      </c>
      <c r="AB42" s="22" t="inlineStr">
        <is>
          <t>DROP</t>
        </is>
      </c>
      <c r="AC42" s="22" t="inlineStr">
        <is>
          <t>CROSS_REGISTER_VIOLATION:COOLANT_STARVATION:HEATER_TEMP=105.0&gt;=100 &amp; COOLANT_FLOW=15.0&lt;=20 (heater setpoint high while coolant circulation nearly stopped)</t>
        </is>
      </c>
      <c r="AD42" s="22" t="inlineStr">
        <is>
          <t>Cross-Register Correlation</t>
        </is>
      </c>
      <c r="AE42" s="22" t="inlineStr">
        <is>
          <t>ATTACK</t>
        </is>
      </c>
      <c r="AF42" s="22">
        <f>IF(OR(AE42="",C42=""),"",IF(C42="ATTACK",IF(AE42="ATTACK","TP","FN"),IF(AE42="ATTACK","FP","TN")))</f>
        <v/>
      </c>
    </row>
    <row r="43" ht="15" customHeight="1" s="18">
      <c r="A43" s="21" t="inlineStr">
        <is>
          <t>N21</t>
        </is>
      </c>
      <c r="B43" s="21" t="inlineStr">
        <is>
          <t>Compressor ramp on new machine M7</t>
        </is>
      </c>
      <c r="C43" s="21" t="inlineStr">
        <is>
          <t>NORMAL</t>
        </is>
      </c>
      <c r="D43" s="21" t="inlineStr">
        <is>
          <t>-</t>
        </is>
      </c>
      <c r="E43" s="21" t="inlineStr">
        <is>
          <t>127.0.0.1</t>
        </is>
      </c>
      <c r="F43" s="21" t="n">
        <v>16</v>
      </c>
      <c r="G43" s="21" t="inlineStr">
        <is>
          <t>AIR_COMPRESSOR</t>
        </is>
      </c>
      <c r="H43" s="21" t="n">
        <v>1800</v>
      </c>
      <c r="I43" s="21" t="inlineStr">
        <is>
          <t>valid</t>
        </is>
      </c>
      <c r="J43" s="21" t="n">
        <v>1</v>
      </c>
      <c r="K43" s="21" t="n">
        <v>5</v>
      </c>
      <c r="L43" s="21" t="n">
        <v>50</v>
      </c>
      <c r="M43" s="21" t="n">
        <v>0</v>
      </c>
      <c r="N43" s="21" t="n">
        <v>45</v>
      </c>
      <c r="O43" s="21" t="n">
        <v>60</v>
      </c>
      <c r="P43" s="21" t="n">
        <v>40</v>
      </c>
      <c r="Q43" s="21" t="n">
        <v>45</v>
      </c>
      <c r="R43" s="21" t="n">
        <v>1500</v>
      </c>
      <c r="S43" s="21" t="n">
        <v>100</v>
      </c>
      <c r="T43" s="21" t="n">
        <v>80</v>
      </c>
      <c r="U43" s="21" t="n">
        <v>50</v>
      </c>
      <c r="V43" s="21" t="n"/>
      <c r="W43" s="21" t="inlineStr">
        <is>
          <t>1500 -&gt; 1800 RPM over 5 s (rate 200 RPM/s)</t>
        </is>
      </c>
      <c r="X43" s="22" t="inlineStr">
        <is>
          <t>PASS</t>
        </is>
      </c>
      <c r="Y43" s="22" t="inlineStr">
        <is>
          <t>OK</t>
        </is>
      </c>
      <c r="Z43" s="22" t="inlineStr">
        <is>
          <t>PASS</t>
        </is>
      </c>
      <c r="AA43" s="22" t="inlineStr">
        <is>
          <t>OK</t>
        </is>
      </c>
      <c r="AB43" s="22" t="inlineStr">
        <is>
          <t>PASS</t>
        </is>
      </c>
      <c r="AC43" s="22" t="inlineStr">
        <is>
          <t>OK</t>
        </is>
      </c>
      <c r="AD43" s="22" t="inlineStr">
        <is>
          <t>-</t>
        </is>
      </c>
      <c r="AE43" s="22" t="inlineStr">
        <is>
          <t>NORMAL</t>
        </is>
      </c>
      <c r="AF43" s="22">
        <f>IF(OR(AE43="",C43=""),"",IF(C43="ATTACK",IF(AE43="ATTACK","TP","FN"),IF(AE43="ATTACK","FP","TN")))</f>
        <v/>
      </c>
    </row>
    <row r="44" ht="15" customHeight="1" s="18">
      <c r="A44" s="21" t="inlineStr">
        <is>
          <t>N22</t>
        </is>
      </c>
      <c r="B44" s="21" t="inlineStr">
        <is>
          <t>Low coolant at low heat</t>
        </is>
      </c>
      <c r="C44" s="21" t="inlineStr">
        <is>
          <t>NORMAL</t>
        </is>
      </c>
      <c r="D44" s="21" t="inlineStr">
        <is>
          <t>-</t>
        </is>
      </c>
      <c r="E44" s="21" t="inlineStr">
        <is>
          <t>127.0.0.1</t>
        </is>
      </c>
      <c r="F44" s="21" t="n">
        <v>16</v>
      </c>
      <c r="G44" s="21" t="inlineStr">
        <is>
          <t>COOLANT_FLOW</t>
        </is>
      </c>
      <c r="H44" s="21" t="n">
        <v>15</v>
      </c>
      <c r="I44" s="21" t="inlineStr">
        <is>
          <t>valid</t>
        </is>
      </c>
      <c r="J44" s="21" t="n">
        <v>1</v>
      </c>
      <c r="K44" s="21" t="n">
        <v>10</v>
      </c>
      <c r="L44" s="21" t="n">
        <v>50</v>
      </c>
      <c r="M44" s="21" t="n">
        <v>0</v>
      </c>
      <c r="N44" s="21" t="n">
        <v>45</v>
      </c>
      <c r="O44" s="21" t="n">
        <v>60</v>
      </c>
      <c r="P44" s="21" t="n">
        <v>40</v>
      </c>
      <c r="Q44" s="21" t="n">
        <v>45</v>
      </c>
      <c r="R44" s="21" t="n">
        <v>1500</v>
      </c>
      <c r="S44" s="21" t="n">
        <v>100</v>
      </c>
      <c r="T44" s="21" t="n">
        <v>40</v>
      </c>
      <c r="U44" s="21" t="n">
        <v>50</v>
      </c>
      <c r="V44" s="21" t="n"/>
      <c r="W44" s="21" t="inlineStr">
        <is>
          <t>Low coolant flow is safe because the heater is cool</t>
        </is>
      </c>
      <c r="X44" s="22" t="inlineStr">
        <is>
          <t>PASS</t>
        </is>
      </c>
      <c r="Y44" s="22" t="inlineStr">
        <is>
          <t>OK</t>
        </is>
      </c>
      <c r="Z44" s="22" t="inlineStr">
        <is>
          <t>PASS</t>
        </is>
      </c>
      <c r="AA44" s="22" t="inlineStr">
        <is>
          <t>OK</t>
        </is>
      </c>
      <c r="AB44" s="22" t="inlineStr">
        <is>
          <t>PASS</t>
        </is>
      </c>
      <c r="AC44" s="22" t="inlineStr">
        <is>
          <t>OK</t>
        </is>
      </c>
      <c r="AD44" s="22" t="inlineStr">
        <is>
          <t>-</t>
        </is>
      </c>
      <c r="AE44" s="22" t="inlineStr">
        <is>
          <t>NORMAL</t>
        </is>
      </c>
      <c r="AF44" s="22">
        <f>IF(OR(AE44="",C44=""),"",IF(C44="ATTACK",IF(AE44="ATTACK","TP","FN"),IF(AE44="ATTACK","FP","TN")))</f>
        <v/>
      </c>
    </row>
    <row r="45" ht="15" customHeight="1" s="18">
      <c r="A45" s="21" t="inlineStr">
        <is>
          <t>A24</t>
        </is>
      </c>
      <c r="B45" s="21" t="inlineStr">
        <is>
          <t>Impossible compressor speed</t>
        </is>
      </c>
      <c r="C45" s="21" t="inlineStr">
        <is>
          <t>ATTACK</t>
        </is>
      </c>
      <c r="D45" s="21" t="inlineStr">
        <is>
          <t>Impossible Command (Out of Bounds)</t>
        </is>
      </c>
      <c r="E45" s="21" t="inlineStr">
        <is>
          <t>127.0.0.1</t>
        </is>
      </c>
      <c r="F45" s="21" t="n">
        <v>16</v>
      </c>
      <c r="G45" s="21" t="inlineStr">
        <is>
          <t>AIR_COMPRESSOR</t>
        </is>
      </c>
      <c r="H45" s="21" t="n">
        <v>5000</v>
      </c>
      <c r="I45" s="21" t="inlineStr">
        <is>
          <t>valid</t>
        </is>
      </c>
      <c r="J45" s="21" t="n">
        <v>1</v>
      </c>
      <c r="K45" s="21" t="n">
        <v>30</v>
      </c>
      <c r="L45" s="21" t="n">
        <v>50</v>
      </c>
      <c r="M45" s="21" t="n">
        <v>0</v>
      </c>
      <c r="N45" s="21" t="n">
        <v>45</v>
      </c>
      <c r="O45" s="21" t="n">
        <v>60</v>
      </c>
      <c r="P45" s="21" t="n">
        <v>40</v>
      </c>
      <c r="Q45" s="21" t="n">
        <v>45</v>
      </c>
      <c r="R45" s="21" t="n">
        <v>1500</v>
      </c>
      <c r="S45" s="21" t="n">
        <v>100</v>
      </c>
      <c r="T45" s="21" t="n">
        <v>80</v>
      </c>
      <c r="U45" s="21" t="n">
        <v>50</v>
      </c>
      <c r="V45" s="21" t="n"/>
      <c r="W45" s="21" t="n"/>
      <c r="X45" s="22" t="inlineStr">
        <is>
          <t>PASS</t>
        </is>
      </c>
      <c r="Y45" s="22" t="inlineStr">
        <is>
          <t>OK</t>
        </is>
      </c>
      <c r="Z45" s="22" t="inlineStr">
        <is>
          <t>FAIL</t>
        </is>
      </c>
      <c r="AA45" s="22" t="inlineStr">
        <is>
          <t>OUT_OF_BOUNDS:AIR_COMPRESSOR=5000.00 (allowed 0–3600)</t>
        </is>
      </c>
      <c r="AB45" s="22" t="inlineStr">
        <is>
          <t>DROP</t>
        </is>
      </c>
      <c r="AC45" s="22" t="inlineStr">
        <is>
          <t>OUT_OF_BOUNDS:AIR_COMPRESSOR=5000.00 (allowed 0–3600)</t>
        </is>
      </c>
      <c r="AD45" s="22" t="inlineStr">
        <is>
          <t>Impossible Command (Out of Bounds)</t>
        </is>
      </c>
      <c r="AE45" s="22" t="inlineStr">
        <is>
          <t>ATTACK</t>
        </is>
      </c>
      <c r="AF45" s="22">
        <f>IF(OR(AE45="",C45=""),"",IF(C45="ATTACK",IF(AE45="ATTACK","TP","FN"),IF(AE45="ATTACK","FP","TN")))</f>
        <v/>
      </c>
    </row>
    <row r="46" ht="15" customHeight="1" s="18">
      <c r="A46" s="21" t="inlineStr">
        <is>
          <t>A21</t>
        </is>
      </c>
      <c r="B46" s="21" t="inlineStr">
        <is>
          <t>Insider setpoint drift</t>
        </is>
      </c>
      <c r="C46" s="21" t="inlineStr">
        <is>
          <t>ATTACK</t>
        </is>
      </c>
      <c r="D46" s="21" t="inlineStr">
        <is>
          <t>Stealthy In-Bounds Manipulation</t>
        </is>
      </c>
      <c r="E46" s="21" t="inlineStr">
        <is>
          <t>127.0.0.1</t>
        </is>
      </c>
      <c r="F46" s="21" t="n">
        <v>16</v>
      </c>
      <c r="G46" s="21" t="inlineStr">
        <is>
          <t>CONVEYOR_SPEED</t>
        </is>
      </c>
      <c r="H46" s="21" t="n">
        <v>90</v>
      </c>
      <c r="I46" s="21" t="inlineStr">
        <is>
          <t>valid</t>
        </is>
      </c>
      <c r="J46" s="21" t="n">
        <v>1</v>
      </c>
      <c r="K46" s="21" t="n">
        <v>5</v>
      </c>
      <c r="L46" s="21" t="n">
        <v>50</v>
      </c>
      <c r="M46" s="21" t="n">
        <v>80</v>
      </c>
      <c r="N46" s="21" t="n">
        <v>45</v>
      </c>
      <c r="O46" s="21" t="n">
        <v>60</v>
      </c>
      <c r="P46" s="21" t="n">
        <v>40</v>
      </c>
      <c r="Q46" s="21" t="n">
        <v>45</v>
      </c>
      <c r="R46" s="21" t="n">
        <v>1500</v>
      </c>
      <c r="S46" s="21" t="n">
        <v>100</v>
      </c>
      <c r="T46" s="21" t="n">
        <v>80</v>
      </c>
      <c r="U46" s="21" t="n">
        <v>50</v>
      </c>
      <c r="V46" s="21" t="n"/>
      <c r="W46" s="21" t="inlineStr">
        <is>
          <t>Compromised HMI nudges conveyor within all limits (edge case)</t>
        </is>
      </c>
      <c r="X46" s="22" t="inlineStr">
        <is>
          <t>PASS</t>
        </is>
      </c>
      <c r="Y46" s="22" t="inlineStr">
        <is>
          <t>OK</t>
        </is>
      </c>
      <c r="Z46" s="22" t="inlineStr">
        <is>
          <t>PASS</t>
        </is>
      </c>
      <c r="AA46" s="22" t="inlineStr">
        <is>
          <t>OK</t>
        </is>
      </c>
      <c r="AB46" s="22" t="inlineStr">
        <is>
          <t>PASS</t>
        </is>
      </c>
      <c r="AC46" s="22" t="inlineStr">
        <is>
          <t>OK</t>
        </is>
      </c>
      <c r="AD46" s="22" t="inlineStr">
        <is>
          <t>-</t>
        </is>
      </c>
      <c r="AE46" s="22" t="inlineStr">
        <is>
          <t>NORMAL</t>
        </is>
      </c>
      <c r="AF46" s="22">
        <f>IF(OR(AE46="",C46=""),"",IF(C46="ATTACK",IF(AE46="ATTACK","TP","FN"),IF(AE46="ATTACK","FP","TN")))</f>
        <v/>
      </c>
    </row>
    <row r="47" ht="15" customHeight="1" s="18">
      <c r="A47" s="21" t="inlineStr">
        <is>
          <t>A22</t>
        </is>
      </c>
      <c r="B47" s="21" t="inlineStr">
        <is>
          <t>First step of low-and-slow correlation attack</t>
        </is>
      </c>
      <c r="C47" s="21" t="inlineStr">
        <is>
          <t>ATTACK</t>
        </is>
      </c>
      <c r="D47" s="21" t="inlineStr">
        <is>
          <t>Cross-Register Correlation</t>
        </is>
      </c>
      <c r="E47" s="21" t="inlineStr">
        <is>
          <t>127.0.0.1</t>
        </is>
      </c>
      <c r="F47" s="21" t="n">
        <v>16</v>
      </c>
      <c r="G47" s="21" t="inlineStr">
        <is>
          <t>HEATER_TEMP</t>
        </is>
      </c>
      <c r="H47" s="21" t="n">
        <v>70</v>
      </c>
      <c r="I47" s="21" t="inlineStr">
        <is>
          <t>valid</t>
        </is>
      </c>
      <c r="J47" s="21" t="n">
        <v>1</v>
      </c>
      <c r="K47" s="21" t="n">
        <v>10</v>
      </c>
      <c r="L47" s="21" t="n">
        <v>50</v>
      </c>
      <c r="M47" s="21" t="n">
        <v>0</v>
      </c>
      <c r="N47" s="21" t="n">
        <v>20</v>
      </c>
      <c r="O47" s="21" t="n">
        <v>60</v>
      </c>
      <c r="P47" s="21" t="n">
        <v>40</v>
      </c>
      <c r="Q47" s="21" t="n">
        <v>45</v>
      </c>
      <c r="R47" s="21" t="n">
        <v>1500</v>
      </c>
      <c r="S47" s="21" t="n">
        <v>100</v>
      </c>
      <c r="T47" s="21" t="n">
        <v>80</v>
      </c>
      <c r="U47" s="21" t="n">
        <v>50</v>
      </c>
      <c r="V47" s="21" t="n"/>
      <c r="W47" s="21" t="inlineStr">
        <is>
          <t>Individually safe preparatory step of the A14 attack (edge case)</t>
        </is>
      </c>
      <c r="X47" s="22" t="inlineStr">
        <is>
          <t>PASS</t>
        </is>
      </c>
      <c r="Y47" s="22" t="inlineStr">
        <is>
          <t>OK</t>
        </is>
      </c>
      <c r="Z47" s="22" t="inlineStr">
        <is>
          <t>PASS</t>
        </is>
      </c>
      <c r="AA47" s="22" t="inlineStr">
        <is>
          <t>OK</t>
        </is>
      </c>
      <c r="AB47" s="22" t="inlineStr">
        <is>
          <t>PASS</t>
        </is>
      </c>
      <c r="AC47" s="22" t="inlineStr">
        <is>
          <t>OK</t>
        </is>
      </c>
      <c r="AD47" s="22" t="inlineStr">
        <is>
          <t>-</t>
        </is>
      </c>
      <c r="AE47" s="22" t="inlineStr">
        <is>
          <t>NORMAL</t>
        </is>
      </c>
      <c r="AF47" s="22">
        <f>IF(OR(AE47="",C47=""),"",IF(C47="ATTACK",IF(AE47="ATTACK","TP","FN"),IF(AE47="ATTACK","FP","TN")))</f>
        <v/>
      </c>
    </row>
  </sheetData>
  <dataValidations count="2">
    <dataValidation sqref="C2:C247" showDropDown="0" showInputMessage="0" showErrorMessage="0" allowBlank="0" type="list" errorStyle="stop" operator="between">
      <formula1>"NORMAL,ATTACK"</formula1>
      <formula2>0</formula2>
    </dataValidation>
    <dataValidation sqref="I2:I247" showDropDown="0" showInputMessage="0" showErrorMessage="0" allowBlank="0" type="list" errorStyle="stop" operator="between">
      <formula1>"valid,missing,tampered,wrong_key,expired,replayed,malformed"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6" customWidth="1" style="18" min="1" max="1"/>
    <col width="22" customWidth="1" style="18" min="2" max="2"/>
    <col width="26" customWidth="1" style="18" min="3" max="3"/>
    <col width="12" customWidth="1" style="18" min="4" max="4"/>
    <col width="48" customWidth="1" style="18" min="5" max="5"/>
  </cols>
  <sheetData>
    <row r="1">
      <c r="A1" s="23" t="inlineStr">
        <is>
          <t>Industrial Mind - System Efficiency Results</t>
        </is>
      </c>
    </row>
    <row r="2">
      <c r="A2" s="24" t="inlineStr">
        <is>
          <t>Evaluated 2026-10-01T16:09:10 over TestCases rows 2-47. Positive class = ATTACK. Formulas recalculate from TestCases.</t>
        </is>
      </c>
    </row>
    <row r="4">
      <c r="A4" s="25" t="inlineStr">
        <is>
          <t>Metric</t>
        </is>
      </c>
      <c r="B4" s="25" t="inlineStr">
        <is>
          <t>Value (Excel formula)</t>
        </is>
      </c>
      <c r="C4" s="25" t="inlineStr">
        <is>
          <t>Value (evaluate_system.py)</t>
        </is>
      </c>
      <c r="D4" s="25" t="inlineStr">
        <is>
          <t>Check</t>
        </is>
      </c>
      <c r="E4" s="25" t="inlineStr">
        <is>
          <t>Definition</t>
        </is>
      </c>
    </row>
    <row r="5">
      <c r="A5" s="26" t="inlineStr">
        <is>
          <t>Total Cases</t>
        </is>
      </c>
      <c r="B5" s="27">
        <f>COUNTIF(TestCases!$C$2:$C$47,"ATTACK")+COUNTIF(TestCases!$C$2:$C$47,"NORMAL")</f>
        <v/>
      </c>
      <c r="C5" s="27" t="n">
        <v>46</v>
      </c>
      <c r="D5" s="28">
        <f>IF(ABS(B5-C5)&lt;0.000001,"OK","MISMATCH")</f>
        <v/>
      </c>
      <c r="E5" s="29" t="inlineStr">
        <is>
          <t>labelled cases</t>
        </is>
      </c>
    </row>
    <row r="6">
      <c r="A6" s="26" t="inlineStr">
        <is>
          <t>Actual Attacks</t>
        </is>
      </c>
      <c r="B6" s="27">
        <f>COUNTIF(TestCases!$C$2:$C$47,"ATTACK")</f>
        <v/>
      </c>
      <c r="C6" s="27" t="n">
        <v>24</v>
      </c>
      <c r="D6" s="28">
        <f>IF(ABS(B6-C6)&lt;0.000001,"OK","MISMATCH")</f>
        <v/>
      </c>
      <c r="E6" s="29" t="inlineStr">
        <is>
          <t>Actual Label = ATTACK</t>
        </is>
      </c>
    </row>
    <row r="7">
      <c r="A7" s="26" t="inlineStr">
        <is>
          <t>Actual Normal</t>
        </is>
      </c>
      <c r="B7" s="27">
        <f>COUNTIF(TestCases!$C$2:$C$47,"NORMAL")</f>
        <v/>
      </c>
      <c r="C7" s="27" t="n">
        <v>22</v>
      </c>
      <c r="D7" s="28">
        <f>IF(ABS(B7-C7)&lt;0.000001,"OK","MISMATCH")</f>
        <v/>
      </c>
      <c r="E7" s="29" t="inlineStr">
        <is>
          <t>Actual Label = NORMAL</t>
        </is>
      </c>
    </row>
    <row r="8">
      <c r="A8" s="26" t="inlineStr">
        <is>
          <t>TP</t>
        </is>
      </c>
      <c r="B8" s="27">
        <f>COUNTIFS(TestCases!$C$2:$C$47,"ATTACK",TestCases!$AE$2:$AE$47,"ATTACK")</f>
        <v/>
      </c>
      <c r="C8" s="27" t="n">
        <v>22</v>
      </c>
      <c r="D8" s="28">
        <f>IF(ABS(B8-C8)&lt;0.000001,"OK","MISMATCH")</f>
        <v/>
      </c>
      <c r="E8" s="29" t="inlineStr">
        <is>
          <t>attack correctly dropped</t>
        </is>
      </c>
    </row>
    <row r="9">
      <c r="A9" s="26" t="inlineStr">
        <is>
          <t>TN</t>
        </is>
      </c>
      <c r="B9" s="27">
        <f>COUNTIFS(TestCases!$C$2:$C$47,"NORMAL",TestCases!$AE$2:$AE$47,"NORMAL")</f>
        <v/>
      </c>
      <c r="C9" s="27" t="n">
        <v>21</v>
      </c>
      <c r="D9" s="28">
        <f>IF(ABS(B9-C9)&lt;0.000001,"OK","MISMATCH")</f>
        <v/>
      </c>
      <c r="E9" s="29" t="inlineStr">
        <is>
          <t>normal command correctly passed</t>
        </is>
      </c>
    </row>
    <row r="10">
      <c r="A10" s="26" t="inlineStr">
        <is>
          <t>FP</t>
        </is>
      </c>
      <c r="B10" s="27">
        <f>COUNTIFS(TestCases!$C$2:$C$47,"NORMAL",TestCases!$AE$2:$AE$47,"ATTACK")</f>
        <v/>
      </c>
      <c r="C10" s="27" t="n">
        <v>1</v>
      </c>
      <c r="D10" s="28">
        <f>IF(ABS(B10-C10)&lt;0.000001,"OK","MISMATCH")</f>
        <v/>
      </c>
      <c r="E10" s="29" t="inlineStr">
        <is>
          <t>normal command wrongly dropped</t>
        </is>
      </c>
    </row>
    <row r="11">
      <c r="A11" s="26" t="inlineStr">
        <is>
          <t>FN</t>
        </is>
      </c>
      <c r="B11" s="27">
        <f>COUNTIFS(TestCases!$C$2:$C$47,"ATTACK",TestCases!$AE$2:$AE$47,"NORMAL")</f>
        <v/>
      </c>
      <c r="C11" s="27" t="n">
        <v>2</v>
      </c>
      <c r="D11" s="28">
        <f>IF(ABS(B11-C11)&lt;0.000001,"OK","MISMATCH")</f>
        <v/>
      </c>
      <c r="E11" s="29" t="inlineStr">
        <is>
          <t>attack wrongly passed</t>
        </is>
      </c>
    </row>
    <row r="12">
      <c r="A12" s="26" t="inlineStr">
        <is>
          <t>Accuracy</t>
        </is>
      </c>
      <c r="B12" s="30">
        <f>IFERROR((B8+B9)/(B8+B9+B10+B11),0)</f>
        <v/>
      </c>
      <c r="C12" s="30" t="n">
        <v>0.9347826086956522</v>
      </c>
      <c r="D12" s="28">
        <f>IF(ABS(B12-C12)&lt;0.000001,"OK","MISMATCH")</f>
        <v/>
      </c>
      <c r="E12" s="29" t="inlineStr">
        <is>
          <t>(TP+TN)/(TP+TN+FP+FN)</t>
        </is>
      </c>
    </row>
    <row r="13">
      <c r="A13" s="26" t="inlineStr">
        <is>
          <t>Precision</t>
        </is>
      </c>
      <c r="B13" s="30">
        <f>IFERROR(B8/(B8+B10),0)</f>
        <v/>
      </c>
      <c r="C13" s="30" t="n">
        <v>0.9565217391304348</v>
      </c>
      <c r="D13" s="28">
        <f>IF(ABS(B13-C13)&lt;0.000001,"OK","MISMATCH")</f>
        <v/>
      </c>
      <c r="E13" s="29" t="inlineStr">
        <is>
          <t>TP/(TP+FP)</t>
        </is>
      </c>
    </row>
    <row r="14">
      <c r="A14" s="26" t="inlineStr">
        <is>
          <t>Recall</t>
        </is>
      </c>
      <c r="B14" s="30">
        <f>IFERROR(B8/(B8+B11),0)</f>
        <v/>
      </c>
      <c r="C14" s="30" t="n">
        <v>0.9166666666666666</v>
      </c>
      <c r="D14" s="28">
        <f>IF(ABS(B14-C14)&lt;0.000001,"OK","MISMATCH")</f>
        <v/>
      </c>
      <c r="E14" s="29" t="inlineStr">
        <is>
          <t>TP/(TP+FN)</t>
        </is>
      </c>
    </row>
    <row r="15">
      <c r="A15" s="26" t="inlineStr">
        <is>
          <t>F1-score</t>
        </is>
      </c>
      <c r="B15" s="30">
        <f>IFERROR(2*B13*B14/(B13+B14),0)</f>
        <v/>
      </c>
      <c r="C15" s="30" t="n">
        <v>0.9361702127659574</v>
      </c>
      <c r="D15" s="28">
        <f>IF(ABS(B15-C15)&lt;0.000001,"OK","MISMATCH")</f>
        <v/>
      </c>
      <c r="E15" s="29" t="inlineStr">
        <is>
          <t>2*Precision*Recall/(Precision+Recall)</t>
        </is>
      </c>
    </row>
    <row r="16">
      <c r="A16" s="26" t="inlineStr">
        <is>
          <t>Detection Rate</t>
        </is>
      </c>
      <c r="B16" s="30">
        <f>IFERROR(B8/(B8+B11),0)</f>
        <v/>
      </c>
      <c r="C16" s="30" t="n">
        <v>0.9166666666666666</v>
      </c>
      <c r="D16" s="28">
        <f>IF(ABS(B16-C16)&lt;0.000001,"OK","MISMATCH")</f>
        <v/>
      </c>
      <c r="E16" s="29" t="inlineStr">
        <is>
          <t>attacks detected / all attacks (= Recall)</t>
        </is>
      </c>
    </row>
    <row r="17">
      <c r="A17" s="26" t="inlineStr">
        <is>
          <t>False Positive Rate</t>
        </is>
      </c>
      <c r="B17" s="30">
        <f>IFERROR(B10/(B10+B9),0)</f>
        <v/>
      </c>
      <c r="C17" s="30" t="n">
        <v>0.04545454545454546</v>
      </c>
      <c r="D17" s="28">
        <f>IF(ABS(B17-C17)&lt;0.000001,"OK","MISMATCH")</f>
        <v/>
      </c>
      <c r="E17" s="29" t="inlineStr">
        <is>
          <t>FP/(FP+TN)</t>
        </is>
      </c>
    </row>
    <row r="18">
      <c r="A18" s="26" t="inlineStr">
        <is>
          <t>Specificity</t>
        </is>
      </c>
      <c r="B18" s="30">
        <f>IFERROR(B9/(B9+B10),0)</f>
        <v/>
      </c>
      <c r="C18" s="30" t="n">
        <v>0.9545454545454546</v>
      </c>
      <c r="D18" s="28">
        <f>IF(ABS(B18-C18)&lt;0.000001,"OK","MISMATCH")</f>
        <v/>
      </c>
      <c r="E18" s="29" t="inlineStr">
        <is>
          <t>TN/(TN+FP)</t>
        </is>
      </c>
    </row>
    <row r="20">
      <c r="A20" s="31" t="inlineStr">
        <is>
          <t>Detection by attack type</t>
        </is>
      </c>
    </row>
    <row r="21">
      <c r="A21" s="25" t="inlineStr">
        <is>
          <t>Expected Attack Type</t>
        </is>
      </c>
      <c r="B21" s="25" t="inlineStr">
        <is>
          <t>Attack Cases</t>
        </is>
      </c>
      <c r="C21" s="25" t="inlineStr">
        <is>
          <t>Detected (DROP)</t>
        </is>
      </c>
      <c r="D21" s="25" t="inlineStr">
        <is>
          <t>Detection Rate</t>
        </is>
      </c>
    </row>
    <row r="22">
      <c r="A22" s="28" t="inlineStr">
        <is>
          <t>Cross-Register Correlation</t>
        </is>
      </c>
      <c r="B22" s="28">
        <f>COUNTIFS(TestCases!$D$2:$D$47,A22,TestCases!$C$2:$C$47,"ATTACK")</f>
        <v/>
      </c>
      <c r="C22" s="28">
        <f>COUNTIFS(TestCases!$D$2:$D$47,A22,TestCases!$C$2:$C$47,"ATTACK",TestCases!$AE$2:$AE$47,"ATTACK")</f>
        <v/>
      </c>
      <c r="D22" s="30">
        <f>IFERROR(C22/B22,0)</f>
        <v/>
      </c>
    </row>
    <row r="23">
      <c r="A23" s="28" t="inlineStr">
        <is>
          <t>Expired Signature (Delayed Replay)</t>
        </is>
      </c>
      <c r="B23" s="28">
        <f>COUNTIFS(TestCases!$D$2:$D$47,A23,TestCases!$C$2:$C$47,"ATTACK")</f>
        <v/>
      </c>
      <c r="C23" s="28">
        <f>COUNTIFS(TestCases!$D$2:$D$47,A23,TestCases!$C$2:$C$47,"ATTACK",TestCases!$AE$2:$AE$47,"ATTACK")</f>
        <v/>
      </c>
      <c r="D23" s="30">
        <f>IFERROR(C23/B23,0)</f>
        <v/>
      </c>
    </row>
    <row r="24">
      <c r="A24" s="28" t="inlineStr">
        <is>
          <t>Flood / Rate Limit</t>
        </is>
      </c>
      <c r="B24" s="28">
        <f>COUNTIFS(TestCases!$D$2:$D$47,A24,TestCases!$C$2:$C$47,"ATTACK")</f>
        <v/>
      </c>
      <c r="C24" s="28">
        <f>COUNTIFS(TestCases!$D$2:$D$47,A24,TestCases!$C$2:$C$47,"ATTACK",TestCases!$AE$2:$AE$47,"ATTACK")</f>
        <v/>
      </c>
      <c r="D24" s="30">
        <f>IFERROR(C24/B24,0)</f>
        <v/>
      </c>
    </row>
    <row r="25">
      <c r="A25" s="28" t="inlineStr">
        <is>
          <t>Impossible Command (Out of Bounds)</t>
        </is>
      </c>
      <c r="B25" s="28">
        <f>COUNTIFS(TestCases!$D$2:$D$47,A25,TestCases!$C$2:$C$47,"ATTACK")</f>
        <v/>
      </c>
      <c r="C25" s="28">
        <f>COUNTIFS(TestCases!$D$2:$D$47,A25,TestCases!$C$2:$C$47,"ATTACK",TestCases!$AE$2:$AE$47,"ATTACK")</f>
        <v/>
      </c>
      <c r="D25" s="30">
        <f>IFERROR(C25/B25,0)</f>
        <v/>
      </c>
    </row>
    <row r="26">
      <c r="A26" s="28" t="inlineStr">
        <is>
          <t>Invalid Function Code</t>
        </is>
      </c>
      <c r="B26" s="28">
        <f>COUNTIFS(TestCases!$D$2:$D$47,A26,TestCases!$C$2:$C$47,"ATTACK")</f>
        <v/>
      </c>
      <c r="C26" s="28">
        <f>COUNTIFS(TestCases!$D$2:$D$47,A26,TestCases!$C$2:$C$47,"ATTACK",TestCases!$AE$2:$AE$47,"ATTACK")</f>
        <v/>
      </c>
      <c r="D26" s="30">
        <f>IFERROR(C26/B26,0)</f>
        <v/>
      </c>
    </row>
    <row r="27">
      <c r="A27" s="28" t="inlineStr">
        <is>
          <t>Invalid Register Access</t>
        </is>
      </c>
      <c r="B27" s="28">
        <f>COUNTIFS(TestCases!$D$2:$D$47,A27,TestCases!$C$2:$C$47,"ATTACK")</f>
        <v/>
      </c>
      <c r="C27" s="28">
        <f>COUNTIFS(TestCases!$D$2:$D$47,A27,TestCases!$C$2:$C$47,"ATTACK",TestCases!$AE$2:$AE$47,"ATTACK")</f>
        <v/>
      </c>
      <c r="D27" s="30">
        <f>IFERROR(C27/B27,0)</f>
        <v/>
      </c>
    </row>
    <row r="28">
      <c r="A28" s="28" t="inlineStr">
        <is>
          <t>Malformed Signed Frame</t>
        </is>
      </c>
      <c r="B28" s="28">
        <f>COUNTIFS(TestCases!$D$2:$D$47,A28,TestCases!$C$2:$C$47,"ATTACK")</f>
        <v/>
      </c>
      <c r="C28" s="28">
        <f>COUNTIFS(TestCases!$D$2:$D$47,A28,TestCases!$C$2:$C$47,"ATTACK",TestCases!$AE$2:$AE$47,"ATTACK")</f>
        <v/>
      </c>
      <c r="D28" s="30">
        <f>IFERROR(C28/B28,0)</f>
        <v/>
      </c>
    </row>
    <row r="29">
      <c r="A29" s="28" t="inlineStr">
        <is>
          <t>Missing HMAC (Unsigned Command)</t>
        </is>
      </c>
      <c r="B29" s="28">
        <f>COUNTIFS(TestCases!$D$2:$D$47,A29,TestCases!$C$2:$C$47,"ATTACK")</f>
        <v/>
      </c>
      <c r="C29" s="28">
        <f>COUNTIFS(TestCases!$D$2:$D$47,A29,TestCases!$C$2:$C$47,"ATTACK",TestCases!$AE$2:$AE$47,"ATTACK")</f>
        <v/>
      </c>
      <c r="D29" s="30">
        <f>IFERROR(C29/B29,0)</f>
        <v/>
      </c>
    </row>
    <row r="30">
      <c r="A30" s="28" t="inlineStr">
        <is>
          <t>Rate-of-Change Violation</t>
        </is>
      </c>
      <c r="B30" s="28">
        <f>COUNTIFS(TestCases!$D$2:$D$47,A30,TestCases!$C$2:$C$47,"ATTACK")</f>
        <v/>
      </c>
      <c r="C30" s="28">
        <f>COUNTIFS(TestCases!$D$2:$D$47,A30,TestCases!$C$2:$C$47,"ATTACK",TestCases!$AE$2:$AE$47,"ATTACK")</f>
        <v/>
      </c>
      <c r="D30" s="30">
        <f>IFERROR(C30/B30,0)</f>
        <v/>
      </c>
    </row>
    <row r="31">
      <c r="A31" s="28" t="inlineStr">
        <is>
          <t>Replay</t>
        </is>
      </c>
      <c r="B31" s="28">
        <f>COUNTIFS(TestCases!$D$2:$D$47,A31,TestCases!$C$2:$C$47,"ATTACK")</f>
        <v/>
      </c>
      <c r="C31" s="28">
        <f>COUNTIFS(TestCases!$D$2:$D$47,A31,TestCases!$C$2:$C$47,"ATTACK",TestCases!$AE$2:$AE$47,"ATTACK")</f>
        <v/>
      </c>
      <c r="D31" s="30">
        <f>IFERROR(C31/B31,0)</f>
        <v/>
      </c>
    </row>
    <row r="32">
      <c r="A32" s="28" t="inlineStr">
        <is>
          <t>Stealthy In-Bounds Manipulation</t>
        </is>
      </c>
      <c r="B32" s="28">
        <f>COUNTIFS(TestCases!$D$2:$D$47,A32,TestCases!$C$2:$C$47,"ATTACK")</f>
        <v/>
      </c>
      <c r="C32" s="28">
        <f>COUNTIFS(TestCases!$D$2:$D$47,A32,TestCases!$C$2:$C$47,"ATTACK",TestCases!$AE$2:$AE$47,"ATTACK")</f>
        <v/>
      </c>
      <c r="D32" s="30">
        <f>IFERROR(C32/B32,0)</f>
        <v/>
      </c>
    </row>
    <row r="33">
      <c r="A33" s="28" t="inlineStr">
        <is>
          <t>Tampered / Forged HMAC</t>
        </is>
      </c>
      <c r="B33" s="28">
        <f>COUNTIFS(TestCases!$D$2:$D$47,A33,TestCases!$C$2:$C$47,"ATTACK")</f>
        <v/>
      </c>
      <c r="C33" s="28">
        <f>COUNTIFS(TestCases!$D$2:$D$47,A33,TestCases!$C$2:$C$47,"ATTACK",TestCases!$AE$2:$AE$47,"ATTACK")</f>
        <v/>
      </c>
      <c r="D33" s="30">
        <f>IFERROR(C33/B33,0)</f>
        <v/>
      </c>
    </row>
    <row r="34">
      <c r="A34" s="28" t="inlineStr">
        <is>
          <t>Untrusted Source</t>
        </is>
      </c>
      <c r="B34" s="28">
        <f>COUNTIFS(TestCases!$D$2:$D$47,A34,TestCases!$C$2:$C$47,"ATTACK")</f>
        <v/>
      </c>
      <c r="C34" s="28">
        <f>COUNTIFS(TestCases!$D$2:$D$47,A34,TestCases!$C$2:$C$47,"ATTACK",TestCases!$AE$2:$AE$47,"ATTACK")</f>
        <v/>
      </c>
      <c r="D34" s="30">
        <f>IFERROR(C34/B34,0)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style="18" min="1" max="1"/>
    <col width="20" customWidth="1" style="18" min="2" max="2"/>
    <col width="20" customWidth="1" style="18" min="3" max="3"/>
    <col width="12" customWidth="1" style="18" min="4" max="4"/>
  </cols>
  <sheetData>
    <row r="1">
      <c r="A1" s="23" t="inlineStr">
        <is>
          <t>Confusion Matrix (positive class = ATTACK)</t>
        </is>
      </c>
    </row>
    <row r="3">
      <c r="A3" s="25" t="inlineStr">
        <is>
          <t>Actual \ Predicted</t>
        </is>
      </c>
      <c r="B3" s="25" t="inlineStr">
        <is>
          <t>Predicted ATTACK</t>
        </is>
      </c>
      <c r="C3" s="25" t="inlineStr">
        <is>
          <t>Predicted NORMAL</t>
        </is>
      </c>
      <c r="D3" s="25" t="inlineStr">
        <is>
          <t>Total</t>
        </is>
      </c>
    </row>
    <row r="4" ht="36" customHeight="1" s="18">
      <c r="A4" s="25" t="inlineStr">
        <is>
          <t>Actual ATTACK</t>
        </is>
      </c>
      <c r="B4" s="32">
        <f>Results!B8</f>
        <v/>
      </c>
      <c r="C4" s="32">
        <f>Results!B11</f>
        <v/>
      </c>
      <c r="D4" s="33">
        <f>B4+C4</f>
        <v/>
      </c>
    </row>
    <row r="5" ht="36" customHeight="1" s="18">
      <c r="A5" s="25" t="inlineStr">
        <is>
          <t>Actual NORMAL</t>
        </is>
      </c>
      <c r="B5" s="32">
        <f>Results!B10</f>
        <v/>
      </c>
      <c r="C5" s="32">
        <f>Results!B9</f>
        <v/>
      </c>
      <c r="D5" s="33">
        <f>B5+C5</f>
        <v/>
      </c>
    </row>
    <row r="6">
      <c r="A6" s="25" t="inlineStr">
        <is>
          <t>Total</t>
        </is>
      </c>
      <c r="B6" s="33">
        <f>B4+B5</f>
        <v/>
      </c>
      <c r="C6" s="33">
        <f>C4+C5</f>
        <v/>
      </c>
      <c r="D6" s="33">
        <f>D4+D5</f>
        <v/>
      </c>
    </row>
    <row r="8">
      <c r="A8" s="29" t="inlineStr">
        <is>
          <t>TP = Actual ATTACK &amp; Predicted ATTACK · FN = Actual ATTACK &amp; Predicted NORMAL · FP = Actual NORMAL &amp; Predicted ATTACK · TN = Actual NORMAL &amp; Predicted NORMAL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7" min="1" max="1"/>
  </cols>
  <sheetData>
    <row r="1" ht="15" customHeight="1" s="18">
      <c r="A1" s="34" t="inlineStr">
        <is>
          <t>Industrial Mind - System Efficiency Test Data</t>
        </is>
      </c>
    </row>
    <row r="2" ht="15" customHeight="1" s="18">
      <c r="A2" s="35" t="n"/>
    </row>
    <row r="3" ht="15" customHeight="1" s="18">
      <c r="A3" s="35" t="inlineStr">
        <is>
          <t>Blue columns (TestCases A..W) are INPUTS you may edit or extend with new rows.</t>
        </is>
      </c>
    </row>
    <row r="4" ht="15" customHeight="1" s="18">
      <c r="A4" s="35" t="inlineStr">
        <is>
          <t>Green columns are OUTPUTS written by evaluation/evaluate_system.py - do not edit by hand.</t>
        </is>
      </c>
    </row>
    <row r="5" ht="15" customHeight="1" s="18">
      <c r="A5" s="35" t="inlineStr">
        <is>
          <t>Actual Label is the ground truth: NORMAL or ATTACK. Positive class = ATTACK.</t>
        </is>
      </c>
    </row>
    <row r="6" ht="15" customHeight="1" s="18">
      <c r="A6" s="35" t="inlineStr">
        <is>
          <t>Predicted Label = ATTACK when the real Orchestrator decision is DROP, NORMAL when PASS.</t>
        </is>
      </c>
    </row>
    <row r="7" ht="15" customHeight="1" s="18">
      <c r="A7" s="35" t="n"/>
    </row>
    <row r="8" ht="15" customHeight="1" s="18">
      <c r="A8" s="34" t="inlineStr">
        <is>
          <t>Column meanings</t>
        </is>
      </c>
    </row>
    <row r="9" ht="15" customHeight="1" s="18">
      <c r="A9" s="35" t="inlineStr">
        <is>
          <t>Machine Register: machine name from docs/interfaces.MACHINES (e.g. HEATER_TEMP) or a raw address number.</t>
        </is>
      </c>
    </row>
    <row r="10" ht="15" customHeight="1" s="18">
      <c r="A10" s="35" t="inlineStr">
        <is>
          <t>Signature Mode: valid | missing | tampered | wrong_key | expired | replayed | malformed.</t>
        </is>
      </c>
    </row>
    <row r="11" ht="15" customHeight="1" s="18">
      <c r="A11" s="35" t="inlineStr">
        <is>
          <t>Repeat Count: number of back-to-back sends from the same source; the LAST one is evaluated (flood tests).</t>
        </is>
      </c>
    </row>
    <row r="12" ht="15" customHeight="1" s="18">
      <c r="A12" s="35" t="inlineStr">
        <is>
          <t>Seconds Since Last Settle: time the register has had to move since it last settled (rate-of-change check).</t>
        </is>
      </c>
    </row>
    <row r="13" ht="15" customHeight="1" s="18">
      <c r="A13" s="35" t="inlineStr">
        <is>
          <t>Current &lt;MACHINE&gt;: live PLC telemetry for each machine when the command arrives.</t>
        </is>
      </c>
    </row>
    <row r="14" ht="15" customHeight="1" s="18">
      <c r="A14" s="35" t="inlineStr">
        <is>
          <t>Pending Setpoints (JSON): approved targets still ramping, e.g. {"RELIEF_VALVE": 10}.</t>
        </is>
      </c>
    </row>
    <row r="15" ht="15" customHeight="1" s="18">
      <c r="A15" s="35" t="n"/>
    </row>
    <row r="16" ht="15" customHeight="1" s="18">
      <c r="A16" s="34" t="inlineStr">
        <is>
          <t>Example row</t>
        </is>
      </c>
    </row>
    <row r="17" ht="15" customHeight="1" s="18">
      <c r="A17" s="35" t="inlineStr">
        <is>
          <t>A14 | heater 102 -&gt; 112 C, cooling valve 20 deg, dt 10 s, valid signature | Actual ATTACK</t>
        </is>
      </c>
    </row>
    <row r="18" ht="15" customHeight="1" s="18">
      <c r="A18" s="35" t="n"/>
    </row>
    <row r="19" ht="15" customHeight="1" s="18">
      <c r="A19" s="34" t="inlineStr">
        <is>
          <t>Rerun:  python evaluation/evaluate_system.py</t>
        </is>
      </c>
    </row>
    <row r="20" ht="15" customHeight="1" s="18">
      <c r="A20" s="35" t="inlineStr">
        <is>
          <t>Results and Confusion Matrix sheets are rebuilt with Excel formulas over TestCases on every run.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2026-10-01T16:04:21Z</dcterms:created>
  <dcterms:modified xmlns:dcterms="http://purl.org/dc/terms/" xmlns:xsi="http://www.w3.org/2001/XMLSchema-instance" xsi:type="dcterms:W3CDTF">2026-10-01T16:09:10Z</dcterms:modified>
  <cp:revision>0</cp:revision>
</cp:coreProperties>
</file>